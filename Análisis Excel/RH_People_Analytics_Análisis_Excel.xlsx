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OneDrive\Documentos\C_Rubis\Master PBi\Repositorio Power Bi\People Analytics Dashboard\Pbip_version\Análisis Excel\"/>
    </mc:Choice>
  </mc:AlternateContent>
  <xr:revisionPtr revIDLastSave="0" documentId="13_ncr:1_{872CDDFD-E2EC-4952-999D-EFE1CA93A792}" xr6:coauthVersionLast="47" xr6:coauthVersionMax="47" xr10:uidLastSave="{00000000-0000-0000-0000-000000000000}"/>
  <bookViews>
    <workbookView xWindow="-108" yWindow="-108" windowWidth="23256" windowHeight="12456" activeTab="1" xr2:uid="{00000000-000D-0000-FFFF-FFFF00000000}"/>
  </bookViews>
  <sheets>
    <sheet name="BD" sheetId="8" r:id="rId1"/>
    <sheet name="Análisis - Respuestas" sheetId="7" r:id="rId2"/>
  </sheets>
  <definedNames>
    <definedName name="_xlnm._FilterDatabase" localSheetId="0" hidden="1">BD!$A$1:$S$311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00" i="7" l="1"/>
  <c r="G101" i="7"/>
  <c r="G102" i="7"/>
  <c r="G103" i="7"/>
  <c r="G104" i="7"/>
  <c r="G105" i="7"/>
  <c r="G99" i="7"/>
  <c r="I151" i="7"/>
  <c r="G146" i="7"/>
  <c r="I146" i="7" s="1"/>
  <c r="G147" i="7"/>
  <c r="I147" i="7" s="1"/>
  <c r="G148" i="7"/>
  <c r="I148" i="7" s="1"/>
  <c r="G149" i="7"/>
  <c r="I149" i="7" s="1"/>
  <c r="G150" i="7"/>
  <c r="G151" i="7"/>
  <c r="G145" i="7"/>
  <c r="I145" i="7" s="1"/>
  <c r="C146" i="7"/>
  <c r="C147" i="7"/>
  <c r="C145" i="7"/>
  <c r="C135" i="7"/>
  <c r="C136" i="7"/>
  <c r="C134" i="7"/>
  <c r="G114" i="7"/>
  <c r="I114" i="7" s="1"/>
  <c r="G115" i="7"/>
  <c r="I115" i="7" s="1"/>
  <c r="G116" i="7"/>
  <c r="I116" i="7" s="1"/>
  <c r="G117" i="7"/>
  <c r="I117" i="7" s="1"/>
  <c r="G118" i="7"/>
  <c r="I118" i="7" s="1"/>
  <c r="G119" i="7"/>
  <c r="I119" i="7" s="1"/>
  <c r="G120" i="7"/>
  <c r="I120" i="7" s="1"/>
  <c r="C115" i="7"/>
  <c r="C116" i="7"/>
  <c r="C117" i="7"/>
  <c r="C114" i="7"/>
  <c r="C100" i="7"/>
  <c r="C101" i="7"/>
  <c r="C102" i="7"/>
  <c r="C103" i="7"/>
  <c r="C104" i="7"/>
  <c r="C105" i="7"/>
  <c r="C99" i="7"/>
  <c r="C91" i="7"/>
  <c r="C90" i="7"/>
  <c r="C58" i="7"/>
  <c r="C55" i="7"/>
  <c r="C56" i="7"/>
  <c r="C57" i="7"/>
  <c r="C54" i="7"/>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2" i="8"/>
  <c r="C37" i="7"/>
  <c r="C38" i="7"/>
  <c r="C36" i="7"/>
  <c r="D27" i="7"/>
  <c r="D28" i="7"/>
  <c r="D29" i="7"/>
  <c r="D26" i="7"/>
  <c r="C27" i="7"/>
  <c r="C28" i="7"/>
  <c r="C29" i="7"/>
  <c r="C26" i="7"/>
  <c r="E19" i="7"/>
  <c r="E18" i="7"/>
  <c r="E17" i="7"/>
  <c r="C19" i="7"/>
  <c r="C18" i="7"/>
  <c r="C17" i="7"/>
  <c r="G8" i="7"/>
  <c r="G9" i="7"/>
  <c r="G7" i="7"/>
  <c r="C8" i="7"/>
  <c r="C9" i="7"/>
  <c r="C10" i="7"/>
  <c r="C7" i="7"/>
  <c r="G106" i="7" l="1"/>
  <c r="H99" i="7" s="1"/>
  <c r="I150" i="7"/>
  <c r="I152" i="7" s="1"/>
  <c r="I121" i="7"/>
  <c r="C47" i="7"/>
  <c r="C45" i="7"/>
  <c r="C46" i="7"/>
  <c r="E20" i="7"/>
  <c r="C20" i="7"/>
  <c r="D18" i="7" s="1"/>
  <c r="G10" i="7"/>
  <c r="C30" i="7"/>
  <c r="G152" i="7"/>
  <c r="H146" i="7" s="1"/>
  <c r="C148" i="7"/>
  <c r="D147" i="7" s="1"/>
  <c r="C137" i="7"/>
  <c r="D134" i="7" s="1"/>
  <c r="G121" i="7"/>
  <c r="H116" i="7" s="1"/>
  <c r="C118" i="7"/>
  <c r="D114" i="7" s="1"/>
  <c r="C106" i="7"/>
  <c r="D102" i="7" s="1"/>
  <c r="C92" i="7"/>
  <c r="C39" i="7"/>
  <c r="D36" i="7" s="1"/>
  <c r="D30" i="7"/>
  <c r="E26" i="7" s="1"/>
  <c r="C11" i="7"/>
  <c r="D7" i="7" s="1"/>
  <c r="H100" i="7" l="1"/>
  <c r="H101" i="7"/>
  <c r="H105" i="7"/>
  <c r="H102" i="7"/>
  <c r="H103" i="7"/>
  <c r="H104" i="7"/>
  <c r="H150" i="7"/>
  <c r="H119" i="7"/>
  <c r="H117" i="7"/>
  <c r="H118" i="7"/>
  <c r="H120" i="7"/>
  <c r="H114" i="7"/>
  <c r="H115" i="7"/>
  <c r="C48" i="7"/>
  <c r="D19" i="7"/>
  <c r="D115" i="7"/>
  <c r="D116" i="7"/>
  <c r="D117" i="7"/>
  <c r="D100" i="7"/>
  <c r="D103" i="7"/>
  <c r="D99" i="7"/>
  <c r="D101" i="7"/>
  <c r="D104" i="7"/>
  <c r="D105" i="7"/>
  <c r="D37" i="7"/>
  <c r="D38" i="7"/>
  <c r="E27" i="7"/>
  <c r="E28" i="7"/>
  <c r="E29" i="7"/>
  <c r="D9" i="7"/>
  <c r="D10" i="7"/>
  <c r="D8" i="7"/>
  <c r="D145" i="7"/>
  <c r="D146" i="7"/>
  <c r="H147" i="7"/>
  <c r="H149" i="7"/>
  <c r="H145" i="7"/>
  <c r="H148" i="7"/>
  <c r="H151" i="7"/>
  <c r="D135" i="7"/>
  <c r="D136" i="7"/>
  <c r="D17" i="7"/>
  <c r="H106" i="7" l="1"/>
  <c r="D20" i="7"/>
  <c r="H121" i="7"/>
  <c r="D11" i="7"/>
  <c r="D39" i="7"/>
  <c r="D137" i="7"/>
  <c r="D118" i="7"/>
  <c r="D148" i="7"/>
  <c r="H152" i="7"/>
  <c r="D106" i="7"/>
  <c r="E30" i="7"/>
</calcChain>
</file>

<file path=xl/sharedStrings.xml><?xml version="1.0" encoding="utf-8"?>
<sst xmlns="http://schemas.openxmlformats.org/spreadsheetml/2006/main" count="3694" uniqueCount="737">
  <si>
    <t>SpecialProjectsCount</t>
  </si>
  <si>
    <t>F</t>
  </si>
  <si>
    <t>ID</t>
  </si>
  <si>
    <t>Estado Civil</t>
  </si>
  <si>
    <t>Sexo</t>
  </si>
  <si>
    <t>Cargo</t>
  </si>
  <si>
    <t>Departamento</t>
  </si>
  <si>
    <t>Casado(a)</t>
  </si>
  <si>
    <t>Administrativo</t>
  </si>
  <si>
    <t>TI</t>
  </si>
  <si>
    <t>Abandono</t>
  </si>
  <si>
    <t>Infeliz</t>
  </si>
  <si>
    <t>1304055947</t>
  </si>
  <si>
    <t>4</t>
  </si>
  <si>
    <t/>
  </si>
  <si>
    <t>1109029366</t>
  </si>
  <si>
    <t>3</t>
  </si>
  <si>
    <t>M</t>
  </si>
  <si>
    <t>1501072124</t>
  </si>
  <si>
    <t>1</t>
  </si>
  <si>
    <t>1302053339</t>
  </si>
  <si>
    <t>1204032927</t>
  </si>
  <si>
    <t>1404066622</t>
  </si>
  <si>
    <t>1205033102</t>
  </si>
  <si>
    <t>1308060366</t>
  </si>
  <si>
    <t>1407069280</t>
  </si>
  <si>
    <t>1209048696</t>
  </si>
  <si>
    <t>2</t>
  </si>
  <si>
    <t>1006020020</t>
  </si>
  <si>
    <t>1408069882</t>
  </si>
  <si>
    <t>1311062610</t>
  </si>
  <si>
    <t>1308060754</t>
  </si>
  <si>
    <t>1011022887</t>
  </si>
  <si>
    <t>1410071137</t>
  </si>
  <si>
    <t>1409070255</t>
  </si>
  <si>
    <t>1599991009</t>
  </si>
  <si>
    <t>1202031618</t>
  </si>
  <si>
    <t>1309061015</t>
  </si>
  <si>
    <t>1106026579</t>
  </si>
  <si>
    <t>1304055987</t>
  </si>
  <si>
    <t>1401064327</t>
  </si>
  <si>
    <t>1203032357</t>
  </si>
  <si>
    <t>1001735072</t>
  </si>
  <si>
    <t>710007555</t>
  </si>
  <si>
    <t>1012023152</t>
  </si>
  <si>
    <t>1211051232</t>
  </si>
  <si>
    <t>1011022883</t>
  </si>
  <si>
    <t>1403066194</t>
  </si>
  <si>
    <t>1305057282</t>
  </si>
  <si>
    <t>1001109612</t>
  </si>
  <si>
    <t>1406068241</t>
  </si>
  <si>
    <t>1102024121</t>
  </si>
  <si>
    <t>1302053362</t>
  </si>
  <si>
    <t>1407069061</t>
  </si>
  <si>
    <t>1101023679</t>
  </si>
  <si>
    <t>1311063114</t>
  </si>
  <si>
    <t>1403066069</t>
  </si>
  <si>
    <t>1007020403</t>
  </si>
  <si>
    <t>1101023612</t>
  </si>
  <si>
    <t>1105026041</t>
  </si>
  <si>
    <t>1412071713</t>
  </si>
  <si>
    <t>1404066949</t>
  </si>
  <si>
    <t>1401064562</t>
  </si>
  <si>
    <t>1106026896</t>
  </si>
  <si>
    <t>1301052124</t>
  </si>
  <si>
    <t>1412071844</t>
  </si>
  <si>
    <t>1012023295</t>
  </si>
  <si>
    <t>706006285</t>
  </si>
  <si>
    <t>803009012</t>
  </si>
  <si>
    <t>1408069539</t>
  </si>
  <si>
    <t>1304055683</t>
  </si>
  <si>
    <t>1209049259</t>
  </si>
  <si>
    <t>1307059944</t>
  </si>
  <si>
    <t>1501071909</t>
  </si>
  <si>
    <t>1104025414</t>
  </si>
  <si>
    <t>1503072857</t>
  </si>
  <si>
    <t>909015167</t>
  </si>
  <si>
    <t>1111030244</t>
  </si>
  <si>
    <t>1409070522</t>
  </si>
  <si>
    <t>1208048062</t>
  </si>
  <si>
    <t>1311063172</t>
  </si>
  <si>
    <t>1501072192</t>
  </si>
  <si>
    <t>1405067064</t>
  </si>
  <si>
    <t>1301052462</t>
  </si>
  <si>
    <t>1109029256</t>
  </si>
  <si>
    <t>1103024335</t>
  </si>
  <si>
    <t>1106026474</t>
  </si>
  <si>
    <t>1111030129</t>
  </si>
  <si>
    <t>1405067642</t>
  </si>
  <si>
    <t>1411071212</t>
  </si>
  <si>
    <t>1403066020</t>
  </si>
  <si>
    <t>1410070998</t>
  </si>
  <si>
    <t>1212051409</t>
  </si>
  <si>
    <t>1101023353</t>
  </si>
  <si>
    <t>1302053044</t>
  </si>
  <si>
    <t>1408069635</t>
  </si>
  <si>
    <t>1312063675</t>
  </si>
  <si>
    <t>1110029777</t>
  </si>
  <si>
    <t>807010161</t>
  </si>
  <si>
    <t>1403065721</t>
  </si>
  <si>
    <t>1408069481</t>
  </si>
  <si>
    <t>1306059197</t>
  </si>
  <si>
    <t>1204032843</t>
  </si>
  <si>
    <t>1411071481</t>
  </si>
  <si>
    <t>1412071660</t>
  </si>
  <si>
    <t>1306057978</t>
  </si>
  <si>
    <t>1411071295</t>
  </si>
  <si>
    <t>1312063714</t>
  </si>
  <si>
    <t>1111030503</t>
  </si>
  <si>
    <t>1504073313</t>
  </si>
  <si>
    <t>1409070567</t>
  </si>
  <si>
    <t>1411071302</t>
  </si>
  <si>
    <t>1203032099</t>
  </si>
  <si>
    <t>1203038888</t>
  </si>
  <si>
    <t>1104025008</t>
  </si>
  <si>
    <t>1209048771</t>
  </si>
  <si>
    <t>1209049326</t>
  </si>
  <si>
    <t>1111030684</t>
  </si>
  <si>
    <t>1501072180</t>
  </si>
  <si>
    <t>1102024106</t>
  </si>
  <si>
    <t>1502072711</t>
  </si>
  <si>
    <t>1401064637</t>
  </si>
  <si>
    <t>1006020066</t>
  </si>
  <si>
    <t>1009021646</t>
  </si>
  <si>
    <t>1001495124</t>
  </si>
  <si>
    <t>1501072311</t>
  </si>
  <si>
    <t>1110029990</t>
  </si>
  <si>
    <t>1409070147</t>
  </si>
  <si>
    <t>1307060077</t>
  </si>
  <si>
    <t>1103024679</t>
  </si>
  <si>
    <t>1107027351</t>
  </si>
  <si>
    <t>1102024149</t>
  </si>
  <si>
    <t>1000974650</t>
  </si>
  <si>
    <t>1405067298</t>
  </si>
  <si>
    <t>1011022820</t>
  </si>
  <si>
    <t>1306057810</t>
  </si>
  <si>
    <t>1103024843</t>
  </si>
  <si>
    <t>1001549006</t>
  </si>
  <si>
    <t>1404066711</t>
  </si>
  <si>
    <t>1205033180</t>
  </si>
  <si>
    <t>1108028428</t>
  </si>
  <si>
    <t>1106026433</t>
  </si>
  <si>
    <t>1001504432</t>
  </si>
  <si>
    <t>1104025435</t>
  </si>
  <si>
    <t>1001970770</t>
  </si>
  <si>
    <t>1303054329</t>
  </si>
  <si>
    <t>1307059937</t>
  </si>
  <si>
    <t>1405067565</t>
  </si>
  <si>
    <t>1408069503</t>
  </si>
  <si>
    <t>1106026462</t>
  </si>
  <si>
    <t>1301052449</t>
  </si>
  <si>
    <t>1008020942</t>
  </si>
  <si>
    <t>1406067957</t>
  </si>
  <si>
    <t>1011022818</t>
  </si>
  <si>
    <t>1108028351</t>
  </si>
  <si>
    <t>1001103149</t>
  </si>
  <si>
    <t>1012023010</t>
  </si>
  <si>
    <t>1403066125</t>
  </si>
  <si>
    <t>1105025661</t>
  </si>
  <si>
    <t>1301052436</t>
  </si>
  <si>
    <t>1101023457</t>
  </si>
  <si>
    <t>1402065085</t>
  </si>
  <si>
    <t>1103024924</t>
  </si>
  <si>
    <t>1110029623</t>
  </si>
  <si>
    <t>1402065303</t>
  </si>
  <si>
    <t>1499902910</t>
  </si>
  <si>
    <t>1102024115</t>
  </si>
  <si>
    <t>1103024456</t>
  </si>
  <si>
    <t>1106026572</t>
  </si>
  <si>
    <t>1302053333</t>
  </si>
  <si>
    <t>1307059817</t>
  </si>
  <si>
    <t>1009919940</t>
  </si>
  <si>
    <t>1009919980</t>
  </si>
  <si>
    <t>1009919990</t>
  </si>
  <si>
    <t>1009920000</t>
  </si>
  <si>
    <t>1009919920</t>
  </si>
  <si>
    <t>1112030816</t>
  </si>
  <si>
    <t>1009919950</t>
  </si>
  <si>
    <t>1105025718</t>
  </si>
  <si>
    <t>1003018246</t>
  </si>
  <si>
    <t>1406068403</t>
  </si>
  <si>
    <t>1108027853</t>
  </si>
  <si>
    <t>1407068885</t>
  </si>
  <si>
    <t>1203032255</t>
  </si>
  <si>
    <t>808010278</t>
  </si>
  <si>
    <t>1110029732</t>
  </si>
  <si>
    <t>1192991000</t>
  </si>
  <si>
    <t>1106026933</t>
  </si>
  <si>
    <t>1011022863</t>
  </si>
  <si>
    <t>1101023754</t>
  </si>
  <si>
    <t>1301052902</t>
  </si>
  <si>
    <t>1501072093</t>
  </si>
  <si>
    <t>602000312</t>
  </si>
  <si>
    <t>1203032263</t>
  </si>
  <si>
    <t>1212052023</t>
  </si>
  <si>
    <t>1102024173</t>
  </si>
  <si>
    <t>1101023540</t>
  </si>
  <si>
    <t>1988299991</t>
  </si>
  <si>
    <t>1012023013</t>
  </si>
  <si>
    <t>1001956578</t>
  </si>
  <si>
    <t>906014183</t>
  </si>
  <si>
    <t>1411071506</t>
  </si>
  <si>
    <t>1009919930</t>
  </si>
  <si>
    <t>1009919960</t>
  </si>
  <si>
    <t>1009919970</t>
  </si>
  <si>
    <t>1107027358</t>
  </si>
  <si>
    <t>1101023577</t>
  </si>
  <si>
    <t>1203032498</t>
  </si>
  <si>
    <t>1303054625</t>
  </si>
  <si>
    <t>1012023185</t>
  </si>
  <si>
    <t>1001644719</t>
  </si>
  <si>
    <t>1307060188</t>
  </si>
  <si>
    <t>1010022337</t>
  </si>
  <si>
    <t>1411071312</t>
  </si>
  <si>
    <t>1108028108</t>
  </si>
  <si>
    <t>904013591</t>
  </si>
  <si>
    <t>1308060959</t>
  </si>
  <si>
    <t>1301052347</t>
  </si>
  <si>
    <t>1211050782</t>
  </si>
  <si>
    <t>711007713</t>
  </si>
  <si>
    <t>1102024056</t>
  </si>
  <si>
    <t>905013738</t>
  </si>
  <si>
    <t>1410071156</t>
  </si>
  <si>
    <t>1102023965</t>
  </si>
  <si>
    <t>1111030148</t>
  </si>
  <si>
    <t>1001175250</t>
  </si>
  <si>
    <t>1104025466</t>
  </si>
  <si>
    <t>1401064670</t>
  </si>
  <si>
    <t>1112030979</t>
  </si>
  <si>
    <t>1102024057</t>
  </si>
  <si>
    <t>1307060199</t>
  </si>
  <si>
    <t>1412071562</t>
  </si>
  <si>
    <t>1111030266</t>
  </si>
  <si>
    <t>1504073368</t>
  </si>
  <si>
    <t>1302053046</t>
  </si>
  <si>
    <t>1001167253</t>
  </si>
  <si>
    <t>1109029264</t>
  </si>
  <si>
    <t>1206043417</t>
  </si>
  <si>
    <t>1303054580</t>
  </si>
  <si>
    <t>1001944783</t>
  </si>
  <si>
    <t>1403065874</t>
  </si>
  <si>
    <t>1402065355</t>
  </si>
  <si>
    <t>1410071026</t>
  </si>
  <si>
    <t>1101023394</t>
  </si>
  <si>
    <t>903013071</t>
  </si>
  <si>
    <t>1204033044</t>
  </si>
  <si>
    <t>1109029186</t>
  </si>
  <si>
    <t>1206038000</t>
  </si>
  <si>
    <t>1404066739</t>
  </si>
  <si>
    <t>1101023839</t>
  </si>
  <si>
    <t>1305057440</t>
  </si>
  <si>
    <t>1001268402</t>
  </si>
  <si>
    <t>1307060083</t>
  </si>
  <si>
    <t>1406068293</t>
  </si>
  <si>
    <t>1405067138</t>
  </si>
  <si>
    <t>1107027392</t>
  </si>
  <si>
    <t>1308060622</t>
  </si>
  <si>
    <t>1107027450</t>
  </si>
  <si>
    <t>1109029531</t>
  </si>
  <si>
    <t>1211050793</t>
  </si>
  <si>
    <t>1101023619</t>
  </si>
  <si>
    <t>1103024859</t>
  </si>
  <si>
    <t>1107027575</t>
  </si>
  <si>
    <t>1409070245</t>
  </si>
  <si>
    <t>1011022814</t>
  </si>
  <si>
    <t>1403065625</t>
  </si>
  <si>
    <t>1103024504</t>
  </si>
  <si>
    <t>1308060671</t>
  </si>
  <si>
    <t>1312063507</t>
  </si>
  <si>
    <t>1001450968</t>
  </si>
  <si>
    <t>1406067865</t>
  </si>
  <si>
    <t>1408069409</t>
  </si>
  <si>
    <t>1206044851</t>
  </si>
  <si>
    <t>1102024274</t>
  </si>
  <si>
    <t>1011022926</t>
  </si>
  <si>
    <t>1405067492</t>
  </si>
  <si>
    <t>1203032235</t>
  </si>
  <si>
    <t>1212051962</t>
  </si>
  <si>
    <t>1104025243</t>
  </si>
  <si>
    <t>1105025721</t>
  </si>
  <si>
    <t>1206042315</t>
  </si>
  <si>
    <t>1208048229</t>
  </si>
  <si>
    <t>1308060535</t>
  </si>
  <si>
    <t>1001417624</t>
  </si>
  <si>
    <t>1306058816</t>
  </si>
  <si>
    <t>1502072511</t>
  </si>
  <si>
    <t>1008020960</t>
  </si>
  <si>
    <t>1110029602</t>
  </si>
  <si>
    <t>710007401</t>
  </si>
  <si>
    <t>1001138521</t>
  </si>
  <si>
    <t>1204033041</t>
  </si>
  <si>
    <t>1307060058</t>
  </si>
  <si>
    <t>1405067501</t>
  </si>
  <si>
    <t>1307060212</t>
  </si>
  <si>
    <t>1109029103</t>
  </si>
  <si>
    <t>1306058509</t>
  </si>
  <si>
    <t>1304055986</t>
  </si>
  <si>
    <t>1202031821</t>
  </si>
  <si>
    <t>1107027551</t>
  </si>
  <si>
    <t>1012023226</t>
  </si>
  <si>
    <t>1411071324</t>
  </si>
  <si>
    <t>1205033439</t>
  </si>
  <si>
    <t>1405067188</t>
  </si>
  <si>
    <t>1209048697</t>
  </si>
  <si>
    <t>1010022030</t>
  </si>
  <si>
    <t>1402065340</t>
  </si>
  <si>
    <t>1008021030</t>
  </si>
  <si>
    <t>1406068345</t>
  </si>
  <si>
    <t>1104025179</t>
  </si>
  <si>
    <t>1011022932</t>
  </si>
  <si>
    <t>1012023204</t>
  </si>
  <si>
    <t>1411071406</t>
  </si>
  <si>
    <t>1005019209</t>
  </si>
  <si>
    <t>1104025486</t>
  </si>
  <si>
    <t>1499902991</t>
  </si>
  <si>
    <t>1207046956</t>
  </si>
  <si>
    <t>1305056276</t>
  </si>
  <si>
    <t>1012023103</t>
  </si>
  <si>
    <t>1001856521</t>
  </si>
  <si>
    <t>1011022777</t>
  </si>
  <si>
    <t>Contador I</t>
  </si>
  <si>
    <t>Analista de BI I</t>
  </si>
  <si>
    <t>Analista de BI II</t>
  </si>
  <si>
    <t>Gerente de TI</t>
  </si>
  <si>
    <t>Analista Comercial I</t>
  </si>
  <si>
    <t>Analista Comercial II</t>
  </si>
  <si>
    <t>Analista Comercial III</t>
  </si>
  <si>
    <t>Gerente Comercial</t>
  </si>
  <si>
    <t>Contador II</t>
  </si>
  <si>
    <t>Gerente Administrativo</t>
  </si>
  <si>
    <t>Gerente de BI</t>
  </si>
  <si>
    <t>Gerente  de TI</t>
  </si>
  <si>
    <t>Analista de Suporte de TI</t>
  </si>
  <si>
    <t>Auxiliar de Suporte de TI</t>
  </si>
  <si>
    <t>Fecha de Nacimiento</t>
  </si>
  <si>
    <t>Fecha de Salida</t>
  </si>
  <si>
    <t>Motivo Salida</t>
  </si>
  <si>
    <t>Estado de miembro</t>
  </si>
  <si>
    <t>Fuente Reclutamiento</t>
  </si>
  <si>
    <t>Analista de Datos I</t>
  </si>
  <si>
    <t>Analista de Datos II</t>
  </si>
  <si>
    <t>Analista de Datos III</t>
  </si>
  <si>
    <t>Director Comercial</t>
  </si>
  <si>
    <t>Asistente Administrativo</t>
  </si>
  <si>
    <t>Director Administrativo</t>
  </si>
  <si>
    <t>Director de TI</t>
  </si>
  <si>
    <t>Ingeniero de Software</t>
  </si>
  <si>
    <t>Ingeniero de Software II</t>
  </si>
  <si>
    <t>Gerente de Ing. Software</t>
  </si>
  <si>
    <t>Soltero</t>
  </si>
  <si>
    <t>Ventas</t>
  </si>
  <si>
    <t>Web de la Empresa</t>
  </si>
  <si>
    <t>Feria de empleo</t>
  </si>
  <si>
    <t>Web de empleo</t>
  </si>
  <si>
    <t>Despedido</t>
  </si>
  <si>
    <t>Solicito despido</t>
  </si>
  <si>
    <t>Activo</t>
  </si>
  <si>
    <t>Cambio de Carrera</t>
  </si>
  <si>
    <t>Exceso de Faltas</t>
  </si>
  <si>
    <t>Propuesta de la competencia</t>
  </si>
  <si>
    <t>Mal comportamiento</t>
  </si>
  <si>
    <t>N/A - Empleado</t>
  </si>
  <si>
    <t>Rendimiento</t>
  </si>
  <si>
    <t xml:space="preserve">Registro de rendimiento </t>
  </si>
  <si>
    <t>Dentro de lo Esperado</t>
  </si>
  <si>
    <t>Por debajo de lo esperado</t>
  </si>
  <si>
    <t>Por encima de lo Esperado</t>
  </si>
  <si>
    <t>Encuesta de compromiso</t>
  </si>
  <si>
    <t>Nombre del empleado</t>
  </si>
  <si>
    <t>Salario mensual corregido</t>
  </si>
  <si>
    <t>Última atualización de rendimiento</t>
  </si>
  <si>
    <t>PEOPLE ANALYTICS</t>
  </si>
  <si>
    <t>Total</t>
  </si>
  <si>
    <t>Deparmento</t>
  </si>
  <si>
    <t>Qtd</t>
  </si>
  <si>
    <t>%</t>
  </si>
  <si>
    <t>Status</t>
  </si>
  <si>
    <t>Empleados Activos</t>
  </si>
  <si>
    <t>Costo mensual</t>
  </si>
  <si>
    <t>Femenino</t>
  </si>
  <si>
    <t>Masculino</t>
  </si>
  <si>
    <t>Total BD</t>
  </si>
  <si>
    <t>Activos</t>
  </si>
  <si>
    <t>% Activos</t>
  </si>
  <si>
    <t>1 - ¿Cuántos empleados activos hay actualmente en la empresa?</t>
  </si>
  <si>
    <t>Siempre es bueno investigar o traer información adicional</t>
  </si>
  <si>
    <t xml:space="preserve">Registro de Rendimiento </t>
  </si>
  <si>
    <t>Tiempo Medio Años 24</t>
  </si>
  <si>
    <t>4 - ¿Existe algún registro de despido de personas que se desempeñan por encima de las expectativas? ¿Cuál es la justificación?</t>
  </si>
  <si>
    <t>Seleccione el Departamento</t>
  </si>
  <si>
    <t>Desempeño</t>
  </si>
  <si>
    <t>Empleados que solicitaron el Despido</t>
  </si>
  <si>
    <t>Empleados despedidos</t>
  </si>
  <si>
    <t>Empleados que solicitaron el despido</t>
  </si>
  <si>
    <t>Total Despedidos</t>
  </si>
  <si>
    <t>% Despedidos</t>
  </si>
  <si>
    <t>% Sol. Despido</t>
  </si>
  <si>
    <t>Seleccione los Items</t>
  </si>
  <si>
    <t>Lucas Figueroa</t>
  </si>
  <si>
    <t>Marcos Rodríguez</t>
  </si>
  <si>
    <t>Juan Pérez</t>
  </si>
  <si>
    <t>Lucía Fernández</t>
  </si>
  <si>
    <t>Emma López</t>
  </si>
  <si>
    <t>Sofía Ramírez</t>
  </si>
  <si>
    <t>Lisa Sánchez</t>
  </si>
  <si>
    <t>Valerio Romero</t>
  </si>
  <si>
    <t>Hanna Torres</t>
  </si>
  <si>
    <t>Camila Álvarez</t>
  </si>
  <si>
    <t>Cristina Ruiz</t>
  </si>
  <si>
    <t>Florian Gómez</t>
  </si>
  <si>
    <t>Maria Castro</t>
  </si>
  <si>
    <t>Paolo Medina</t>
  </si>
  <si>
    <t>Angela Herrera</t>
  </si>
  <si>
    <t>Carolina Vega</t>
  </si>
  <si>
    <t>Sebastián Molina</t>
  </si>
  <si>
    <t>Agustina Ríos</t>
  </si>
  <si>
    <t>Federico Navarro</t>
  </si>
  <si>
    <t>Julio Acosta</t>
  </si>
  <si>
    <t>Maite Benítez</t>
  </si>
  <si>
    <t>Lucas Cabrera</t>
  </si>
  <si>
    <t>Inxgel Domínguez</t>
  </si>
  <si>
    <t>Natalia Peralta</t>
  </si>
  <si>
    <t>Gonzalo Suárez</t>
  </si>
  <si>
    <t>Rocío Figueroa</t>
  </si>
  <si>
    <t>Tamara Correa</t>
  </si>
  <si>
    <t>Melina Arias</t>
  </si>
  <si>
    <t>Francis Ponce</t>
  </si>
  <si>
    <t>Daniela Moya</t>
  </si>
  <si>
    <t>Alejandra Ibáñez</t>
  </si>
  <si>
    <t>Micaela Soto</t>
  </si>
  <si>
    <t>Emanuel Luna</t>
  </si>
  <si>
    <t>Belén Silva</t>
  </si>
  <si>
    <t>Celeste Núñez</t>
  </si>
  <si>
    <t>Victoria Ojeda</t>
  </si>
  <si>
    <t>Cristian Ferreyra</t>
  </si>
  <si>
    <t>Lucas Bustos</t>
  </si>
  <si>
    <t>Hexxa Godoy</t>
  </si>
  <si>
    <t>Ceoh Ramos</t>
  </si>
  <si>
    <t>Bruno Ledesma</t>
  </si>
  <si>
    <t>Noelia Campos</t>
  </si>
  <si>
    <t>Adriana Vázquez</t>
  </si>
  <si>
    <t>Miguel Quiroga</t>
  </si>
  <si>
    <t>Leandro Muñoz</t>
  </si>
  <si>
    <t>Gabriel Cárdenas</t>
  </si>
  <si>
    <t>Facundo Santillán</t>
  </si>
  <si>
    <t>Ailén Soria</t>
  </si>
  <si>
    <t>Ostary Toledo</t>
  </si>
  <si>
    <t>Mariano Franco</t>
  </si>
  <si>
    <t>Chantal Villar</t>
  </si>
  <si>
    <t>Paola Maidana</t>
  </si>
  <si>
    <t>Kevin Barrios</t>
  </si>
  <si>
    <t>Roque Páez</t>
  </si>
  <si>
    <t>Ana Duarte</t>
  </si>
  <si>
    <t>Andrea Gallardo</t>
  </si>
  <si>
    <t>Malena Roldán</t>
  </si>
  <si>
    <t>Yamil Reynoso</t>
  </si>
  <si>
    <t>Estela Cáceres</t>
  </si>
  <si>
    <t>Karen Escobar</t>
  </si>
  <si>
    <t>Lucía Bravo</t>
  </si>
  <si>
    <t>Gregorio Salas</t>
  </si>
  <si>
    <t>Ivanna Montoya</t>
  </si>
  <si>
    <t>Marisol Antúnez</t>
  </si>
  <si>
    <t>Josefina Valdez</t>
  </si>
  <si>
    <t>Eliana Pereyra</t>
  </si>
  <si>
    <t>Nahuel Bustamante</t>
  </si>
  <si>
    <t>Vanesa Olmos</t>
  </si>
  <si>
    <t>Rodrigo Méndez</t>
  </si>
  <si>
    <t>Alejandro Palacios</t>
  </si>
  <si>
    <t>Cristal Miranda</t>
  </si>
  <si>
    <t>Mateo Leiva</t>
  </si>
  <si>
    <t>Brittany Flores</t>
  </si>
  <si>
    <t>Daniel Coronel</t>
  </si>
  <si>
    <t>Lorena Giménez</t>
  </si>
  <si>
    <t>Constanza Lucero</t>
  </si>
  <si>
    <t>Maia Arce</t>
  </si>
  <si>
    <t>Claudia Nieto</t>
  </si>
  <si>
    <t>Ezequiel Basualdo</t>
  </si>
  <si>
    <t>Florencia Prieto</t>
  </si>
  <si>
    <t>Mariana Aguirre</t>
  </si>
  <si>
    <t>Jesús Robles</t>
  </si>
  <si>
    <t>Rutt Villalba</t>
  </si>
  <si>
    <t>Candela Ferrari</t>
  </si>
  <si>
    <t>Samara Alfaro</t>
  </si>
  <si>
    <t>Paolo Cabrera</t>
  </si>
  <si>
    <t>Hugo Andrada</t>
  </si>
  <si>
    <t>Lautaro Rivas</t>
  </si>
  <si>
    <t>Patricio Salvatierra</t>
  </si>
  <si>
    <t>Kevin Mansilla</t>
  </si>
  <si>
    <t>Carlos Paredes</t>
  </si>
  <si>
    <t>Romal Funes</t>
  </si>
  <si>
    <t>Josefina Calderón</t>
  </si>
  <si>
    <t>Damián Córdoba</t>
  </si>
  <si>
    <t>Samuel Martínez</t>
  </si>
  <si>
    <t>Erin Ávalos</t>
  </si>
  <si>
    <t>Alejo Cuello</t>
  </si>
  <si>
    <t>Alexia Farías</t>
  </si>
  <si>
    <t>Daniel Moyano</t>
  </si>
  <si>
    <t>Mateo Castaño</t>
  </si>
  <si>
    <t>Ignacio Patiño</t>
  </si>
  <si>
    <t>Antonio Greco</t>
  </si>
  <si>
    <t>Gabriela Maciel</t>
  </si>
  <si>
    <t>Renata Del Valle</t>
  </si>
  <si>
    <t>Ricarda Pugliese</t>
  </si>
  <si>
    <t>Alex Chazarreta</t>
  </si>
  <si>
    <t>Marcos Villagra</t>
  </si>
  <si>
    <t>Karen Luján</t>
  </si>
  <si>
    <t>Fabiana Carrizo</t>
  </si>
  <si>
    <t>Malena Cisneros</t>
  </si>
  <si>
    <t>Pablo Ocampo</t>
  </si>
  <si>
    <t>Lucio Fonseca</t>
  </si>
  <si>
    <t>Santani Ricci</t>
  </si>
  <si>
    <t>Victor Quinteros</t>
  </si>
  <si>
    <t>Ulim Peñaloza</t>
  </si>
  <si>
    <t>Russo Almada</t>
  </si>
  <si>
    <t>Claudia Perdomo</t>
  </si>
  <si>
    <t>Carlos Araujo</t>
  </si>
  <si>
    <t>Emilia Rocha</t>
  </si>
  <si>
    <t>Ainhoa Morán</t>
  </si>
  <si>
    <t>Leony Ibarra</t>
  </si>
  <si>
    <t>Bianca Solís</t>
  </si>
  <si>
    <t>Penelope Almirón</t>
  </si>
  <si>
    <t>Karl Monzón</t>
  </si>
  <si>
    <t>Joaquina Rivero</t>
  </si>
  <si>
    <t>Nataly Becerra</t>
  </si>
  <si>
    <t>Ary Sequeira</t>
  </si>
  <si>
    <t>Priscila Tapia</t>
  </si>
  <si>
    <t>Luisa Coronado</t>
  </si>
  <si>
    <t>Felipe Benavides</t>
  </si>
  <si>
    <t>Cristina Barrenechea</t>
  </si>
  <si>
    <t>Angel Latorre</t>
  </si>
  <si>
    <t>Guido Etcheverry</t>
  </si>
  <si>
    <t>Mauro Belén Ortiz</t>
  </si>
  <si>
    <t>Néstor Patiño</t>
  </si>
  <si>
    <t>Carlos Rentería</t>
  </si>
  <si>
    <t>Edmar Lozano</t>
  </si>
  <si>
    <t>Evelyn Carballo</t>
  </si>
  <si>
    <t>Simón Verón</t>
  </si>
  <si>
    <t>Lucio Montenegro</t>
  </si>
  <si>
    <t>Victoria Mayorga</t>
  </si>
  <si>
    <t>Sabrina Gaitán</t>
  </si>
  <si>
    <t>Horacio Bianchi</t>
  </si>
  <si>
    <t>María Paz Villafañe</t>
  </si>
  <si>
    <t>Tiana Kessler</t>
  </si>
  <si>
    <t>Rommel Villarroel</t>
  </si>
  <si>
    <t>Alan Bertolini</t>
  </si>
  <si>
    <t>Débora Meza</t>
  </si>
  <si>
    <t>Reneh Scarpatti</t>
  </si>
  <si>
    <t>Jimena Lencina</t>
  </si>
  <si>
    <t>Osdina Brizuela</t>
  </si>
  <si>
    <t>Morhell Santoro</t>
  </si>
  <si>
    <t>Diego Palomeque</t>
  </si>
  <si>
    <t>Anabel Bustos</t>
  </si>
  <si>
    <t>Fabio Arrieta</t>
  </si>
  <si>
    <t>Matías Galindo</t>
  </si>
  <si>
    <t>Lourdes Pizarro</t>
  </si>
  <si>
    <t>Cristina Acevedo</t>
  </si>
  <si>
    <t>Natdaniel Lemos</t>
  </si>
  <si>
    <t>Juan Cruz Ferraro</t>
  </si>
  <si>
    <t>Indigo Bustamante</t>
  </si>
  <si>
    <t>Felipe Dávila</t>
  </si>
  <si>
    <t>Guadalupe Rizzi</t>
  </si>
  <si>
    <t>Agustina Montalvo</t>
  </si>
  <si>
    <t>Carolina Perdomo</t>
  </si>
  <si>
    <t>Brenda Salinas</t>
  </si>
  <si>
    <t>Martín Albornoz</t>
  </si>
  <si>
    <t>Silvina Cabrera</t>
  </si>
  <si>
    <t>Karen Oviedo</t>
  </si>
  <si>
    <t>Mario Eugenia Ríos</t>
  </si>
  <si>
    <t>Jonathan Escudero</t>
  </si>
  <si>
    <t>Pía Santángelo</t>
  </si>
  <si>
    <t>Rubén Lamas</t>
  </si>
  <si>
    <t>Angel Benítez</t>
  </si>
  <si>
    <t>Mauricio Cardozo</t>
  </si>
  <si>
    <t>Charles Nieto</t>
  </si>
  <si>
    <t>Sandro Villena</t>
  </si>
  <si>
    <t>Karen Maidana</t>
  </si>
  <si>
    <t>Julia Tejada</t>
  </si>
  <si>
    <t>Mariela Duarte</t>
  </si>
  <si>
    <t>Ramón Poblete</t>
  </si>
  <si>
    <t>Aldo Giménez</t>
  </si>
  <si>
    <t>Lorena Bertone</t>
  </si>
  <si>
    <t>Cristina Pacheco</t>
  </si>
  <si>
    <t>Federico Lazzari</t>
  </si>
  <si>
    <t>María Inés Ponce</t>
  </si>
  <si>
    <t>Ezequiel Romano</t>
  </si>
  <si>
    <t>Lucio Varela</t>
  </si>
  <si>
    <t>Andrea Bonelli</t>
  </si>
  <si>
    <t>Paul Guidi</t>
  </si>
  <si>
    <t>Maximiliano Costas</t>
  </si>
  <si>
    <t>Natalia Seijas</t>
  </si>
  <si>
    <t>Bruno Ferri</t>
  </si>
  <si>
    <t>NB</t>
  </si>
  <si>
    <t>Carolina Laprida</t>
  </si>
  <si>
    <t>Maggie Rinaldi</t>
  </si>
  <si>
    <t>Romina Falcón</t>
  </si>
  <si>
    <t>Germán Puglisi</t>
  </si>
  <si>
    <t>Daniel Morresi</t>
  </si>
  <si>
    <t>Joana Spinelli</t>
  </si>
  <si>
    <t>Laura Massaro</t>
  </si>
  <si>
    <t>Ishal Toscano</t>
  </si>
  <si>
    <t>Verónica Di Santo</t>
  </si>
  <si>
    <t>Sebastián Lombardo</t>
  </si>
  <si>
    <t>María Sol Roca</t>
  </si>
  <si>
    <t>Facundo Bellini</t>
  </si>
  <si>
    <t>Agostina Pellegrini</t>
  </si>
  <si>
    <t>Leana Vitale</t>
  </si>
  <si>
    <t>Mónica Farinelli</t>
  </si>
  <si>
    <t>Francis Giordano</t>
  </si>
  <si>
    <t>Silvia Caputo</t>
  </si>
  <si>
    <t>Nicolás De Luca</t>
  </si>
  <si>
    <t>Patricio Orlandi</t>
  </si>
  <si>
    <t>Christian Mancini</t>
  </si>
  <si>
    <t>Paolo Venturi</t>
  </si>
  <si>
    <t>Lucas Benedetti</t>
  </si>
  <si>
    <t>Cecilia Moretti</t>
  </si>
  <si>
    <t>Alejo Conti</t>
  </si>
  <si>
    <t>Florian Caruso</t>
  </si>
  <si>
    <t>Ramiro Battaglia</t>
  </si>
  <si>
    <t>Mariano De Santis</t>
  </si>
  <si>
    <t>Serena Marconi</t>
  </si>
  <si>
    <t>Valeria Ruffini</t>
  </si>
  <si>
    <t>Tomás Guidetti</t>
  </si>
  <si>
    <t>Andrés Ferraresi</t>
  </si>
  <si>
    <t>Pietra Balsamo</t>
  </si>
  <si>
    <t>Gregorio Ricciardi</t>
  </si>
  <si>
    <t>Marco Santini</t>
  </si>
  <si>
    <t>Alejandro Lombardi</t>
  </si>
  <si>
    <t>Davide Romano</t>
  </si>
  <si>
    <t>Francesca Vitullo</t>
  </si>
  <si>
    <t>Flavia Lazzari</t>
  </si>
  <si>
    <t>Elvira Romano</t>
  </si>
  <si>
    <t>Luciano Varela</t>
  </si>
  <si>
    <t>Andrés Bonelli</t>
  </si>
  <si>
    <t>Paula Guidi</t>
  </si>
  <si>
    <t>Carlos Laprida</t>
  </si>
  <si>
    <t>Matías Rinaldi</t>
  </si>
  <si>
    <t>Georgiana Puglisi</t>
  </si>
  <si>
    <t>Daniela Morresi</t>
  </si>
  <si>
    <t>Joaquina Spinelli</t>
  </si>
  <si>
    <t>Imara Toscano</t>
  </si>
  <si>
    <t>Fabiana Bellini</t>
  </si>
  <si>
    <t>Agostino Pellegrini</t>
  </si>
  <si>
    <t>Leia Vitale</t>
  </si>
  <si>
    <t>Francell Giordano</t>
  </si>
  <si>
    <t>Nidia De Luca</t>
  </si>
  <si>
    <t>Paola Venturi</t>
  </si>
  <si>
    <t>Lucía Benedetti</t>
  </si>
  <si>
    <t>Alejandra Conti</t>
  </si>
  <si>
    <t>Florencia Caruso</t>
  </si>
  <si>
    <t>Marcos De Santis</t>
  </si>
  <si>
    <t>Sergio Marconi</t>
  </si>
  <si>
    <t>Valerio Ruffini</t>
  </si>
  <si>
    <t>Andrea Ferraresi</t>
  </si>
  <si>
    <t>Pietro Balsamo</t>
  </si>
  <si>
    <t>Gabriel Ricciardi</t>
  </si>
  <si>
    <t>Marcia Santini</t>
  </si>
  <si>
    <t>Alex Lombardi</t>
  </si>
  <si>
    <t>Dafne Romano</t>
  </si>
  <si>
    <t>Francesco Vitullo</t>
  </si>
  <si>
    <t>Lorena Gatti</t>
  </si>
  <si>
    <t>Chiara Bellucci</t>
  </si>
  <si>
    <t>Mariana Ferraro</t>
  </si>
  <si>
    <t>Sergio Morelli</t>
  </si>
  <si>
    <t>Alberto Ricci</t>
  </si>
  <si>
    <t>Elena Conti</t>
  </si>
  <si>
    <t>Riccardo Bianchi</t>
  </si>
  <si>
    <t>Martín De Rosa</t>
  </si>
  <si>
    <t>Paola Greco</t>
  </si>
  <si>
    <t>Giovanna Vitale</t>
  </si>
  <si>
    <t>Stefano Marino</t>
  </si>
  <si>
    <t>Claudia Parisi</t>
  </si>
  <si>
    <t>Antonia Ruggiero</t>
  </si>
  <si>
    <t>Robert Colombo</t>
  </si>
  <si>
    <t>Salvatore Esposito</t>
  </si>
  <si>
    <t>Daniel Ferrante</t>
  </si>
  <si>
    <t>Luigi Palmieri</t>
  </si>
  <si>
    <t>Valentina Sorrentino</t>
  </si>
  <si>
    <t>Gabriela Amato</t>
  </si>
  <si>
    <t>Ilaria Fontana</t>
  </si>
  <si>
    <t>Fabina De Angelis</t>
  </si>
  <si>
    <t>Serena Lombardo</t>
  </si>
  <si>
    <t>Nicolle Caruso</t>
  </si>
  <si>
    <t>Alessia Fiore</t>
  </si>
  <si>
    <t>Martina Bellucci</t>
  </si>
  <si>
    <t>Natalia Ferretti</t>
  </si>
  <si>
    <t>Agustín Traverso</t>
  </si>
  <si>
    <t>Lucas Bernasconi</t>
  </si>
  <si>
    <t>Fernanda Zanetti</t>
  </si>
  <si>
    <t>Paula Cattaneo</t>
  </si>
  <si>
    <t>Hylie Malfatti</t>
  </si>
  <si>
    <t>Julieta Moreira</t>
  </si>
  <si>
    <t>Ricardo Tonelli</t>
  </si>
  <si>
    <t>Agustina Morales</t>
  </si>
  <si>
    <t>No Binario</t>
  </si>
  <si>
    <t>Total Activos</t>
  </si>
  <si>
    <t>Tiempo Medio Años</t>
  </si>
  <si>
    <t>Indice de Satisfacción*</t>
  </si>
  <si>
    <t>*Considerando únicamente a los empleados activos.</t>
  </si>
  <si>
    <t>Evaluación de Empleados Activos</t>
  </si>
  <si>
    <t>Evaluación de Empleados Inactivos</t>
  </si>
  <si>
    <t>Producción</t>
  </si>
  <si>
    <t>Indicación de empleados</t>
  </si>
  <si>
    <t>Director de Producción</t>
  </si>
  <si>
    <t xml:space="preserve">Gerente de Producción </t>
  </si>
  <si>
    <t>Técnico de Producción I</t>
  </si>
  <si>
    <t>Técnico de Producción II</t>
  </si>
  <si>
    <r>
      <rPr>
        <b/>
        <sz val="12"/>
        <color theme="1"/>
        <rFont val="Calibri"/>
        <family val="2"/>
        <scheme val="minor"/>
      </rPr>
      <t xml:space="preserve">Respuesta: </t>
    </r>
    <r>
      <rPr>
        <sz val="12"/>
        <color theme="1"/>
        <rFont val="Calibri"/>
        <family val="2"/>
        <scheme val="minor"/>
      </rPr>
      <t>En base al gráfico de dispersión, no se visualiza una correlación entre las variables.</t>
    </r>
  </si>
  <si>
    <t>Total Solicito Despido</t>
  </si>
  <si>
    <t>Índice de Satisfacción</t>
  </si>
  <si>
    <t>Fecha de Contratación</t>
  </si>
  <si>
    <t>Puntuación rendimiento ID</t>
  </si>
  <si>
    <t>7 - ¿Qué departamento representó el mayor nivel de satisfacción en la última encuesta realizada? (Considerando sólo los empleados activos).</t>
  </si>
  <si>
    <t>*El total del índice no se puede calcular con un promedio simple, debe ser solo de los activos ya que entoces se estaría considerando el mismo peso para todos los departamentos sin contar con la cantidad de empleados de cada uno.</t>
  </si>
  <si>
    <t>6 - De los profesionales en activo, ¿Cuál es el promedio de años que llevan trabajando en esta empresa?</t>
  </si>
  <si>
    <t>5 - Según la última evaluación de desempeño, ¿Qué porcentaje de empleados activos se desempeñó por debajo de las expectativas?</t>
  </si>
  <si>
    <t>3 - ¿Cuál es la principal fuente de contratación de la empresa? / 4 - De los miembros activos, ¿Qué porcentaje se basó en referencias de empleados?</t>
  </si>
  <si>
    <t>2 - ¿Cuál es el costo de nómina mensual de esta empresa? / ¿Qué porcentaje de diversidad maneja la empresa?</t>
  </si>
  <si>
    <t>1 - ¿Cuántas personas fueron despedidas de la plantilla de la empresa entre 2020 y 2023? De estas personas, ¿Cuántas fueron despedidas y cuántas solicitaron el despido?</t>
  </si>
  <si>
    <t>2 - De los empleados que solicitaron el despido, ¿Cuáles fueron los motivos y sus respectivos porcentajes?</t>
  </si>
  <si>
    <t>Justificación: Mal comportamiento</t>
  </si>
  <si>
    <t>- Posibles problemas de liderazgo o estilo de supervisión.</t>
  </si>
  <si>
    <t>- Sobrecarga operativa tras el crecimiento acelerado.</t>
  </si>
  <si>
    <t>- Falta de planes de desarrollo o reconocimiento.</t>
  </si>
  <si>
    <t>- Desalineación entre expectativas del rol y la realidad operativa.</t>
  </si>
  <si>
    <r>
      <rPr>
        <b/>
        <sz val="12"/>
        <color theme="1"/>
        <rFont val="Calibri"/>
        <family val="2"/>
        <scheme val="minor"/>
      </rPr>
      <t xml:space="preserve">Respuesta: </t>
    </r>
    <r>
      <rPr>
        <sz val="12"/>
        <color theme="1"/>
        <rFont val="Calibri"/>
        <family val="2"/>
        <scheme val="minor"/>
      </rPr>
      <t>En el Departamento de Producción hay mayor cantidad de solicitudes de despido por infelicidad, lo cual puede traducirce en los siguientes problemas:</t>
    </r>
  </si>
  <si>
    <t>- Implementar programas de liderazgo y gestión de personas en Producción.</t>
  </si>
  <si>
    <t>- Crear planes de carrera y crecimiento interno.</t>
  </si>
  <si>
    <t>- Aplicar encuestas de pulso periódicas para detectar problemas tempranos.</t>
  </si>
  <si>
    <t>- Fortalecer la comunicación interna y reconocimiento.</t>
  </si>
  <si>
    <t>- Replicar buenas prácticas del departamento de TI.</t>
  </si>
  <si>
    <r>
      <rPr>
        <b/>
        <sz val="12"/>
        <color theme="1"/>
        <rFont val="Calibri"/>
        <family val="2"/>
        <scheme val="minor"/>
      </rPr>
      <t>Respuesta:</t>
    </r>
    <r>
      <rPr>
        <sz val="12"/>
        <color theme="1"/>
        <rFont val="Calibri"/>
        <family val="2"/>
        <scheme val="minor"/>
      </rPr>
      <t xml:space="preserve"> El departamento de Producción es el que pierde mayor cantidad de talentos con excelente desempeño y la razón es por insatisfacción, por lo tanto, se recomienda:</t>
    </r>
  </si>
  <si>
    <t>Total Inactivos</t>
  </si>
  <si>
    <t>% Total Inactivos</t>
  </si>
  <si>
    <t>8 - ¿Existe una correlación entre la satisfacción de los empleados y el salario?</t>
  </si>
  <si>
    <t>3 - Con base en las solicitudes de despido, ¿Cuáles pueden ser los posibles problemas en algún departamento?</t>
  </si>
  <si>
    <t>5 - ¿La empresa ha estado perdiendo empleados que se desempeñan por encima de las expectativas?, ¿Cuáles serían las sugerencias para superar esta situación?</t>
  </si>
  <si>
    <t>Total de Empleados Inactivos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</si>
</sst>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0;\(\$#,##0\);\$#,##0"/>
    <numFmt numFmtId="165" formatCode="dd/mm/yy"/>
    <numFmt numFmtId="166" formatCode="_-&quot;$&quot;* #,##0_-;\-&quot;$&quot;* #,##0_-;_-&quot;$&quot;* &quot;-&quot;??_-;_-@_-"/>
    <numFmt numFmtId="167" formatCode="0.0%"/>
    <numFmt numFmtId="168" formatCode="0.0"/>
  </numFmts>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8"/>
      <color theme="0"/>
      <name val="Arial Black"/>
      <family val="2"/>
    </font>
    <font>
      <b/>
      <sz val="12"/>
      <color rgb="FF7030A0"/>
      <name val="Arial"/>
      <family val="2"/>
    </font>
    <font>
      <b/>
      <sz val="14"/>
      <color theme="0"/>
      <name val="Arial Black"/>
      <family val="2"/>
    </font>
    <font>
      <b/>
      <sz val="12"/>
      <color rgb="FF2B435B"/>
      <name val="Arial"/>
      <family val="2"/>
    </font>
    <font>
      <sz val="11"/>
      <color rgb="FF2B435B"/>
      <name val="Calibri"/>
      <family val="2"/>
      <scheme val="minor"/>
    </font>
    <font>
      <sz val="11"/>
      <color rgb="FF2B435B"/>
      <name val="Calibri"/>
      <family val="2"/>
    </font>
    <font>
      <b/>
      <sz val="12"/>
      <color theme="1"/>
      <name val="Calibri"/>
      <family val="2"/>
      <scheme val="minor"/>
    </font>
    <font>
      <b/>
      <u/>
      <sz val="12"/>
      <color theme="1"/>
      <name val="Calibri"/>
      <family val="2"/>
      <scheme val="minor"/>
    </font>
    <font>
      <b/>
      <sz val="12"/>
      <color theme="5"/>
      <name val="Calibri"/>
      <family val="2"/>
      <scheme val="minor"/>
    </font>
    <font>
      <sz val="12"/>
      <color theme="1"/>
      <name val="Calibri"/>
      <family val="2"/>
      <scheme val="minor"/>
    </font>
    <font>
      <sz val="12"/>
      <color indexed="8"/>
      <name val="Calibri"/>
      <family val="2"/>
    </font>
    <font>
      <b/>
      <sz val="12"/>
      <color theme="0"/>
      <name val="Calibri"/>
      <family val="2"/>
      <scheme val="minor"/>
    </font>
    <font>
      <b/>
      <sz val="12"/>
      <color indexed="8"/>
      <name val="Calibri"/>
      <family val="2"/>
    </font>
    <font>
      <b/>
      <sz val="12"/>
      <name val="Calibri"/>
      <family val="2"/>
    </font>
    <font>
      <sz val="14"/>
      <color indexed="8"/>
      <name val="Calibri"/>
      <family val="2"/>
    </font>
    <font>
      <sz val="14"/>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rgb="FFFF7171"/>
        <bgColor indexed="64"/>
      </patternFill>
    </fill>
    <fill>
      <patternFill patternType="solid">
        <fgColor theme="9" tint="-0.249977111117893"/>
        <bgColor indexed="64"/>
      </patternFill>
    </fill>
    <fill>
      <patternFill patternType="solid">
        <fgColor theme="9"/>
        <bgColor indexed="64"/>
      </patternFill>
    </fill>
    <fill>
      <patternFill patternType="solid">
        <fgColor theme="8" tint="0.39997558519241921"/>
        <bgColor indexed="64"/>
      </patternFill>
    </fill>
    <fill>
      <patternFill patternType="solid">
        <fgColor theme="8"/>
        <bgColor indexed="64"/>
      </patternFill>
    </fill>
    <fill>
      <patternFill patternType="solid">
        <fgColor rgb="FF2B435B"/>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18" fillId="0" borderId="0" xfId="0" applyFont="1"/>
    <xf numFmtId="164" fontId="18" fillId="0" borderId="0" xfId="0" applyNumberFormat="1" applyFont="1"/>
    <xf numFmtId="165" fontId="18" fillId="0" borderId="0" xfId="0" applyNumberFormat="1" applyFont="1"/>
    <xf numFmtId="0" fontId="20" fillId="0" borderId="0" xfId="0" applyFont="1"/>
    <xf numFmtId="0" fontId="0" fillId="0" borderId="0" xfId="0" applyAlignment="1">
      <alignment horizontal="center"/>
    </xf>
    <xf numFmtId="0" fontId="0" fillId="37" borderId="0" xfId="0" applyFill="1"/>
    <xf numFmtId="168" fontId="0" fillId="37" borderId="0" xfId="0" applyNumberFormat="1" applyFill="1"/>
    <xf numFmtId="0" fontId="22" fillId="0" borderId="0" xfId="0" applyFont="1"/>
    <xf numFmtId="0" fontId="23" fillId="0" borderId="0" xfId="0" applyFont="1"/>
    <xf numFmtId="0" fontId="24" fillId="0" borderId="0" xfId="0" applyFont="1"/>
    <xf numFmtId="0" fontId="26" fillId="0" borderId="0" xfId="0" applyFont="1" applyAlignment="1">
      <alignment vertical="center"/>
    </xf>
    <xf numFmtId="0" fontId="27" fillId="0" borderId="0" xfId="0" applyFont="1"/>
    <xf numFmtId="0" fontId="28" fillId="0" borderId="0" xfId="0" applyFont="1"/>
    <xf numFmtId="0" fontId="25" fillId="37" borderId="0" xfId="0" applyFont="1" applyFill="1" applyAlignment="1">
      <alignment horizontal="left" vertical="center"/>
    </xf>
    <xf numFmtId="0" fontId="28" fillId="37" borderId="0" xfId="0" applyFont="1" applyFill="1"/>
    <xf numFmtId="0" fontId="29" fillId="0" borderId="0" xfId="0" applyFont="1"/>
    <xf numFmtId="0" fontId="30" fillId="35" borderId="0" xfId="0" applyFont="1" applyFill="1" applyAlignment="1">
      <alignment horizontal="center"/>
    </xf>
    <xf numFmtId="0" fontId="31" fillId="37" borderId="0" xfId="0" applyFont="1" applyFill="1"/>
    <xf numFmtId="0" fontId="25" fillId="37" borderId="0" xfId="0" applyFont="1" applyFill="1" applyAlignment="1">
      <alignment horizontal="center"/>
    </xf>
    <xf numFmtId="167" fontId="25" fillId="37" borderId="0" xfId="43" applyNumberFormat="1" applyFont="1" applyFill="1" applyAlignment="1">
      <alignment horizontal="center"/>
    </xf>
    <xf numFmtId="0" fontId="28" fillId="0" borderId="0" xfId="0" applyFont="1" applyAlignment="1">
      <alignment horizontal="center"/>
    </xf>
    <xf numFmtId="167" fontId="28" fillId="0" borderId="0" xfId="43" applyNumberFormat="1" applyFont="1" applyAlignment="1">
      <alignment horizontal="center"/>
    </xf>
    <xf numFmtId="0" fontId="25" fillId="0" borderId="0" xfId="0" applyFont="1" applyAlignment="1">
      <alignment horizontal="center"/>
    </xf>
    <xf numFmtId="167" fontId="25" fillId="0" borderId="0" xfId="43" applyNumberFormat="1" applyFont="1" applyFill="1" applyAlignment="1">
      <alignment horizontal="center"/>
    </xf>
    <xf numFmtId="0" fontId="31" fillId="34" borderId="0" xfId="0" applyFont="1" applyFill="1"/>
    <xf numFmtId="0" fontId="25" fillId="34" borderId="0" xfId="0" applyFont="1" applyFill="1" applyAlignment="1">
      <alignment horizontal="center"/>
    </xf>
    <xf numFmtId="167" fontId="25" fillId="34" borderId="0" xfId="43" applyNumberFormat="1" applyFont="1" applyFill="1" applyAlignment="1">
      <alignment horizontal="center"/>
    </xf>
    <xf numFmtId="0" fontId="32" fillId="33" borderId="10" xfId="0" applyFont="1" applyFill="1" applyBorder="1"/>
    <xf numFmtId="0" fontId="32" fillId="33" borderId="10" xfId="0" applyFont="1" applyFill="1" applyBorder="1" applyAlignment="1">
      <alignment horizontal="center"/>
    </xf>
    <xf numFmtId="9" fontId="32" fillId="33" borderId="10" xfId="43" applyFont="1" applyFill="1" applyBorder="1" applyAlignment="1">
      <alignment horizontal="center"/>
    </xf>
    <xf numFmtId="0" fontId="32" fillId="0" borderId="0" xfId="0" applyFont="1"/>
    <xf numFmtId="0" fontId="32" fillId="0" borderId="0" xfId="0" applyFont="1" applyAlignment="1">
      <alignment horizontal="center"/>
    </xf>
    <xf numFmtId="9" fontId="32" fillId="0" borderId="0" xfId="43" applyFont="1" applyFill="1" applyBorder="1" applyAlignment="1">
      <alignment horizontal="center"/>
    </xf>
    <xf numFmtId="0" fontId="25" fillId="37" borderId="0" xfId="0" applyFont="1" applyFill="1"/>
    <xf numFmtId="168" fontId="28" fillId="37" borderId="0" xfId="0" applyNumberFormat="1" applyFont="1" applyFill="1" applyAlignment="1">
      <alignment horizontal="center"/>
    </xf>
    <xf numFmtId="168" fontId="28" fillId="0" borderId="0" xfId="0" applyNumberFormat="1" applyFont="1" applyAlignment="1">
      <alignment horizontal="center"/>
    </xf>
    <xf numFmtId="168" fontId="32" fillId="33" borderId="10" xfId="0" applyNumberFormat="1" applyFont="1" applyFill="1" applyBorder="1" applyAlignment="1">
      <alignment horizontal="center"/>
    </xf>
    <xf numFmtId="2" fontId="32" fillId="33" borderId="10" xfId="0" applyNumberFormat="1" applyFont="1" applyFill="1" applyBorder="1" applyAlignment="1">
      <alignment horizontal="center"/>
    </xf>
    <xf numFmtId="0" fontId="29" fillId="37" borderId="0" xfId="0" applyFont="1" applyFill="1"/>
    <xf numFmtId="166" fontId="28" fillId="0" borderId="0" xfId="42" applyNumberFormat="1" applyFont="1"/>
    <xf numFmtId="44" fontId="32" fillId="38" borderId="10" xfId="42" applyFont="1" applyFill="1" applyBorder="1" applyAlignment="1">
      <alignment horizontal="center"/>
    </xf>
    <xf numFmtId="0" fontId="28" fillId="37" borderId="0" xfId="0" applyFont="1" applyFill="1" applyAlignment="1">
      <alignment horizontal="center"/>
    </xf>
    <xf numFmtId="0" fontId="25" fillId="36" borderId="0" xfId="0" applyFont="1" applyFill="1" applyAlignment="1">
      <alignment horizontal="center" vertical="center"/>
    </xf>
    <xf numFmtId="0" fontId="33" fillId="0" borderId="0" xfId="0" applyFont="1"/>
    <xf numFmtId="0" fontId="33" fillId="37" borderId="0" xfId="0" applyFont="1" applyFill="1"/>
    <xf numFmtId="0" fontId="34" fillId="0" borderId="0" xfId="0" applyFont="1"/>
    <xf numFmtId="0" fontId="28" fillId="0" borderId="0" xfId="0" quotePrefix="1" applyFont="1"/>
    <xf numFmtId="0" fontId="0" fillId="0" borderId="0" xfId="0" quotePrefix="1"/>
    <xf numFmtId="10" fontId="28" fillId="0" borderId="0" xfId="43" applyNumberFormat="1" applyFont="1" applyAlignment="1">
      <alignment horizontal="center"/>
    </xf>
    <xf numFmtId="10" fontId="28" fillId="37" borderId="0" xfId="43" applyNumberFormat="1" applyFont="1" applyFill="1" applyAlignment="1">
      <alignment horizontal="center"/>
    </xf>
    <xf numFmtId="10" fontId="25" fillId="37" borderId="0" xfId="43" applyNumberFormat="1" applyFont="1" applyFill="1" applyAlignment="1">
      <alignment horizontal="center"/>
    </xf>
    <xf numFmtId="10" fontId="25" fillId="34" borderId="0" xfId="43" applyNumberFormat="1" applyFont="1" applyFill="1" applyAlignment="1">
      <alignment horizontal="center"/>
    </xf>
    <xf numFmtId="10" fontId="25" fillId="0" borderId="0" xfId="43" applyNumberFormat="1" applyFont="1" applyFill="1" applyAlignment="1">
      <alignment horizontal="center"/>
    </xf>
    <xf numFmtId="0" fontId="32" fillId="37" borderId="0" xfId="0" applyFont="1" applyFill="1"/>
    <xf numFmtId="0" fontId="32" fillId="37" borderId="0" xfId="0" applyFont="1" applyFill="1" applyAlignment="1">
      <alignment horizontal="center"/>
    </xf>
    <xf numFmtId="0" fontId="19" fillId="35" borderId="0" xfId="0" applyFont="1" applyFill="1" applyAlignment="1">
      <alignment horizontal="center" vertical="center"/>
    </xf>
    <xf numFmtId="0" fontId="28" fillId="0" borderId="0" xfId="0" applyFont="1" applyAlignment="1">
      <alignment horizontal="left" wrapText="1"/>
    </xf>
    <xf numFmtId="0" fontId="21" fillId="39" borderId="0" xfId="0" applyFont="1" applyFill="1" applyAlignment="1">
      <alignment horizontal="center" vertical="center"/>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2" builtinId="4"/>
    <cellStyle name="Neutral" xfId="8" builtinId="28" customBuiltin="1"/>
    <cellStyle name="Normal" xfId="0" builtinId="0"/>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2">
    <dxf>
      <numFmt numFmtId="168" formatCode="0.0"/>
      <fill>
        <patternFill patternType="solid">
          <fgColor indexed="64"/>
          <bgColor theme="8" tint="0.39997558519241921"/>
        </patternFill>
      </fill>
    </dxf>
    <dxf>
      <font>
        <b val="0"/>
        <i val="0"/>
        <strike val="0"/>
        <condense val="0"/>
        <extend val="0"/>
        <outline val="0"/>
        <shadow val="0"/>
        <u val="none"/>
        <vertAlign val="baseline"/>
        <sz val="11"/>
        <color indexed="8"/>
        <name val="Calibri"/>
        <family val="2"/>
        <scheme val="none"/>
      </font>
      <numFmt numFmtId="165" formatCode="dd/mm/yy"/>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165" formatCode="dd/mm/yy"/>
    </dxf>
    <dxf>
      <font>
        <b val="0"/>
        <i val="0"/>
        <strike val="0"/>
        <condense val="0"/>
        <extend val="0"/>
        <outline val="0"/>
        <shadow val="0"/>
        <u val="none"/>
        <vertAlign val="baseline"/>
        <sz val="11"/>
        <color indexed="8"/>
        <name val="Calibri"/>
        <family val="2"/>
        <scheme val="none"/>
      </font>
      <numFmt numFmtId="165" formatCode="dd/mm/yy"/>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165" formatCode="dd/mm/yy"/>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164" formatCode="\$#,##0;\(\$#,##0\);\$#,##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4"/>
        <color indexed="8"/>
        <name val="Calibri"/>
        <family val="2"/>
        <scheme val="none"/>
      </font>
    </dxf>
  </dxfs>
  <tableStyles count="1" defaultTableStyle="TableStyleMedium2" defaultPivotStyle="PivotStyleLight16">
    <tableStyle name="Invisible" pivot="0" table="0" count="0" xr9:uid="{6715A947-3486-4D2C-830C-F48E56DD6AE1}"/>
  </tableStyles>
  <colors>
    <mruColors>
      <color rgb="FFFF7171"/>
      <color rgb="FF2B435B"/>
      <color rgb="FFC59EE2"/>
      <color rgb="FFDAC1ED"/>
      <color rgb="FF9954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Índice de Satisfacción vs Salario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BD!$Q$1</c:f>
              <c:strCache>
                <c:ptCount val="1"/>
                <c:pt idx="0">
                  <c:v>Índice de Satisfacción</c:v>
                </c:pt>
              </c:strCache>
            </c:strRef>
          </c:tx>
          <c:spPr>
            <a:ln w="19050" cap="rnd">
              <a:noFill/>
              <a:round/>
            </a:ln>
            <a:effectLst/>
          </c:spPr>
          <c:marker>
            <c:symbol val="circle"/>
            <c:size val="5"/>
            <c:spPr>
              <a:solidFill>
                <a:schemeClr val="accent6"/>
              </a:solidFill>
              <a:ln w="9525">
                <a:solidFill>
                  <a:schemeClr val="accent6"/>
                </a:solidFill>
              </a:ln>
              <a:effectLst/>
            </c:spPr>
          </c:marker>
          <c:xVal>
            <c:numRef>
              <c:f>BD!$D$2:$D$311</c:f>
              <c:numCache>
                <c:formatCode>\$#,##0;\(\$#,##0\);\$#,##0</c:formatCode>
                <c:ptCount val="310"/>
                <c:pt idx="0">
                  <c:v>5060</c:v>
                </c:pt>
                <c:pt idx="1">
                  <c:v>3520</c:v>
                </c:pt>
                <c:pt idx="2">
                  <c:v>4400</c:v>
                </c:pt>
                <c:pt idx="3">
                  <c:v>3960</c:v>
                </c:pt>
                <c:pt idx="4">
                  <c:v>3520</c:v>
                </c:pt>
                <c:pt idx="5">
                  <c:v>4400</c:v>
                </c:pt>
                <c:pt idx="6">
                  <c:v>3300</c:v>
                </c:pt>
                <c:pt idx="7">
                  <c:v>3520</c:v>
                </c:pt>
                <c:pt idx="8">
                  <c:v>5445</c:v>
                </c:pt>
                <c:pt idx="9">
                  <c:v>4840</c:v>
                </c:pt>
                <c:pt idx="10">
                  <c:v>5280</c:v>
                </c:pt>
                <c:pt idx="11">
                  <c:v>3520</c:v>
                </c:pt>
                <c:pt idx="12">
                  <c:v>4620</c:v>
                </c:pt>
                <c:pt idx="13">
                  <c:v>5060</c:v>
                </c:pt>
                <c:pt idx="14">
                  <c:v>3740</c:v>
                </c:pt>
                <c:pt idx="15">
                  <c:v>3520</c:v>
                </c:pt>
                <c:pt idx="16">
                  <c:v>5280</c:v>
                </c:pt>
                <c:pt idx="17">
                  <c:v>3300</c:v>
                </c:pt>
                <c:pt idx="18">
                  <c:v>3685</c:v>
                </c:pt>
                <c:pt idx="19">
                  <c:v>4180</c:v>
                </c:pt>
                <c:pt idx="20">
                  <c:v>3300</c:v>
                </c:pt>
                <c:pt idx="21">
                  <c:v>4400</c:v>
                </c:pt>
                <c:pt idx="22">
                  <c:v>3740</c:v>
                </c:pt>
                <c:pt idx="23">
                  <c:v>4400</c:v>
                </c:pt>
                <c:pt idx="24">
                  <c:v>4180</c:v>
                </c:pt>
                <c:pt idx="25">
                  <c:v>3740</c:v>
                </c:pt>
                <c:pt idx="26">
                  <c:v>3740</c:v>
                </c:pt>
                <c:pt idx="27">
                  <c:v>4840</c:v>
                </c:pt>
                <c:pt idx="28">
                  <c:v>3300</c:v>
                </c:pt>
                <c:pt idx="29">
                  <c:v>4620</c:v>
                </c:pt>
                <c:pt idx="30">
                  <c:v>4840</c:v>
                </c:pt>
                <c:pt idx="31">
                  <c:v>4290</c:v>
                </c:pt>
                <c:pt idx="32">
                  <c:v>3300</c:v>
                </c:pt>
                <c:pt idx="33">
                  <c:v>4620</c:v>
                </c:pt>
                <c:pt idx="34">
                  <c:v>3300</c:v>
                </c:pt>
                <c:pt idx="35">
                  <c:v>4620</c:v>
                </c:pt>
                <c:pt idx="36">
                  <c:v>3080</c:v>
                </c:pt>
                <c:pt idx="37">
                  <c:v>3687</c:v>
                </c:pt>
                <c:pt idx="38">
                  <c:v>4400</c:v>
                </c:pt>
                <c:pt idx="39">
                  <c:v>3465</c:v>
                </c:pt>
                <c:pt idx="40">
                  <c:v>4675</c:v>
                </c:pt>
                <c:pt idx="41">
                  <c:v>4620</c:v>
                </c:pt>
                <c:pt idx="42">
                  <c:v>5280</c:v>
                </c:pt>
                <c:pt idx="43">
                  <c:v>4180</c:v>
                </c:pt>
                <c:pt idx="44">
                  <c:v>3520</c:v>
                </c:pt>
                <c:pt idx="45">
                  <c:v>3520</c:v>
                </c:pt>
                <c:pt idx="46">
                  <c:v>4840</c:v>
                </c:pt>
                <c:pt idx="47">
                  <c:v>4840</c:v>
                </c:pt>
                <c:pt idx="48">
                  <c:v>4840</c:v>
                </c:pt>
                <c:pt idx="49">
                  <c:v>4840</c:v>
                </c:pt>
                <c:pt idx="50">
                  <c:v>4620</c:v>
                </c:pt>
                <c:pt idx="51">
                  <c:v>5060</c:v>
                </c:pt>
                <c:pt idx="52">
                  <c:v>3740</c:v>
                </c:pt>
                <c:pt idx="53">
                  <c:v>4180</c:v>
                </c:pt>
                <c:pt idx="54">
                  <c:v>3080</c:v>
                </c:pt>
                <c:pt idx="55">
                  <c:v>3740</c:v>
                </c:pt>
                <c:pt idx="56">
                  <c:v>3740</c:v>
                </c:pt>
                <c:pt idx="57">
                  <c:v>5390</c:v>
                </c:pt>
                <c:pt idx="58">
                  <c:v>3960</c:v>
                </c:pt>
                <c:pt idx="59">
                  <c:v>4620</c:v>
                </c:pt>
                <c:pt idx="60">
                  <c:v>5280</c:v>
                </c:pt>
                <c:pt idx="61">
                  <c:v>3080</c:v>
                </c:pt>
                <c:pt idx="62">
                  <c:v>4400</c:v>
                </c:pt>
                <c:pt idx="63">
                  <c:v>3520</c:v>
                </c:pt>
                <c:pt idx="64">
                  <c:v>4345</c:v>
                </c:pt>
                <c:pt idx="65">
                  <c:v>4180</c:v>
                </c:pt>
                <c:pt idx="66">
                  <c:v>5280</c:v>
                </c:pt>
                <c:pt idx="67">
                  <c:v>4180</c:v>
                </c:pt>
                <c:pt idx="68">
                  <c:v>4400</c:v>
                </c:pt>
                <c:pt idx="69">
                  <c:v>4840</c:v>
                </c:pt>
                <c:pt idx="70">
                  <c:v>4180</c:v>
                </c:pt>
                <c:pt idx="71">
                  <c:v>4400</c:v>
                </c:pt>
                <c:pt idx="72">
                  <c:v>4840</c:v>
                </c:pt>
                <c:pt idx="73">
                  <c:v>4840</c:v>
                </c:pt>
                <c:pt idx="74">
                  <c:v>3520</c:v>
                </c:pt>
                <c:pt idx="75">
                  <c:v>3300</c:v>
                </c:pt>
                <c:pt idx="76">
                  <c:v>4400</c:v>
                </c:pt>
                <c:pt idx="77">
                  <c:v>4840</c:v>
                </c:pt>
                <c:pt idx="78">
                  <c:v>4400</c:v>
                </c:pt>
                <c:pt idx="79">
                  <c:v>4620</c:v>
                </c:pt>
                <c:pt idx="80">
                  <c:v>4400</c:v>
                </c:pt>
                <c:pt idx="81">
                  <c:v>5280</c:v>
                </c:pt>
                <c:pt idx="82">
                  <c:v>3740</c:v>
                </c:pt>
                <c:pt idx="83">
                  <c:v>3344</c:v>
                </c:pt>
                <c:pt idx="84">
                  <c:v>5400</c:v>
                </c:pt>
                <c:pt idx="85">
                  <c:v>5400</c:v>
                </c:pt>
                <c:pt idx="86">
                  <c:v>4250</c:v>
                </c:pt>
                <c:pt idx="87">
                  <c:v>4250</c:v>
                </c:pt>
                <c:pt idx="88">
                  <c:v>5400</c:v>
                </c:pt>
                <c:pt idx="89">
                  <c:v>5400</c:v>
                </c:pt>
                <c:pt idx="90">
                  <c:v>5500</c:v>
                </c:pt>
                <c:pt idx="91">
                  <c:v>5400</c:v>
                </c:pt>
                <c:pt idx="92">
                  <c:v>5350</c:v>
                </c:pt>
                <c:pt idx="93">
                  <c:v>7500</c:v>
                </c:pt>
                <c:pt idx="94">
                  <c:v>7500</c:v>
                </c:pt>
                <c:pt idx="95">
                  <c:v>7500</c:v>
                </c:pt>
                <c:pt idx="96">
                  <c:v>8600</c:v>
                </c:pt>
                <c:pt idx="97">
                  <c:v>8600</c:v>
                </c:pt>
                <c:pt idx="98">
                  <c:v>8600</c:v>
                </c:pt>
                <c:pt idx="99">
                  <c:v>8600</c:v>
                </c:pt>
                <c:pt idx="100">
                  <c:v>8000</c:v>
                </c:pt>
                <c:pt idx="101">
                  <c:v>8600</c:v>
                </c:pt>
                <c:pt idx="102">
                  <c:v>8000</c:v>
                </c:pt>
                <c:pt idx="103">
                  <c:v>8000</c:v>
                </c:pt>
                <c:pt idx="104">
                  <c:v>10000</c:v>
                </c:pt>
                <c:pt idx="105">
                  <c:v>10500</c:v>
                </c:pt>
                <c:pt idx="106">
                  <c:v>11200</c:v>
                </c:pt>
                <c:pt idx="107">
                  <c:v>10250</c:v>
                </c:pt>
                <c:pt idx="108">
                  <c:v>13200</c:v>
                </c:pt>
                <c:pt idx="109">
                  <c:v>13200</c:v>
                </c:pt>
                <c:pt idx="110">
                  <c:v>17600</c:v>
                </c:pt>
                <c:pt idx="111">
                  <c:v>11990</c:v>
                </c:pt>
                <c:pt idx="112">
                  <c:v>12100</c:v>
                </c:pt>
                <c:pt idx="113">
                  <c:v>11220</c:v>
                </c:pt>
                <c:pt idx="114">
                  <c:v>11880</c:v>
                </c:pt>
                <c:pt idx="115">
                  <c:v>12100</c:v>
                </c:pt>
                <c:pt idx="116">
                  <c:v>11660</c:v>
                </c:pt>
                <c:pt idx="117">
                  <c:v>11440</c:v>
                </c:pt>
                <c:pt idx="118">
                  <c:v>11660</c:v>
                </c:pt>
                <c:pt idx="119">
                  <c:v>12100</c:v>
                </c:pt>
                <c:pt idx="120">
                  <c:v>5500</c:v>
                </c:pt>
                <c:pt idx="121">
                  <c:v>5500</c:v>
                </c:pt>
                <c:pt idx="122">
                  <c:v>5720</c:v>
                </c:pt>
                <c:pt idx="123">
                  <c:v>5335</c:v>
                </c:pt>
                <c:pt idx="124">
                  <c:v>5940</c:v>
                </c:pt>
                <c:pt idx="125">
                  <c:v>4840</c:v>
                </c:pt>
                <c:pt idx="126">
                  <c:v>5940</c:v>
                </c:pt>
                <c:pt idx="127">
                  <c:v>5500</c:v>
                </c:pt>
                <c:pt idx="128">
                  <c:v>5742</c:v>
                </c:pt>
                <c:pt idx="129">
                  <c:v>5806</c:v>
                </c:pt>
                <c:pt idx="130">
                  <c:v>4840</c:v>
                </c:pt>
                <c:pt idx="131">
                  <c:v>5940</c:v>
                </c:pt>
                <c:pt idx="132">
                  <c:v>5280</c:v>
                </c:pt>
                <c:pt idx="133">
                  <c:v>4840</c:v>
                </c:pt>
                <c:pt idx="134">
                  <c:v>5720</c:v>
                </c:pt>
                <c:pt idx="135">
                  <c:v>6380</c:v>
                </c:pt>
                <c:pt idx="136">
                  <c:v>5720</c:v>
                </c:pt>
                <c:pt idx="137">
                  <c:v>4950</c:v>
                </c:pt>
                <c:pt idx="138">
                  <c:v>5720</c:v>
                </c:pt>
                <c:pt idx="139">
                  <c:v>4840</c:v>
                </c:pt>
                <c:pt idx="140">
                  <c:v>5500</c:v>
                </c:pt>
                <c:pt idx="141">
                  <c:v>5940</c:v>
                </c:pt>
                <c:pt idx="142">
                  <c:v>5500</c:v>
                </c:pt>
                <c:pt idx="143">
                  <c:v>5335</c:v>
                </c:pt>
                <c:pt idx="144">
                  <c:v>5940</c:v>
                </c:pt>
                <c:pt idx="145">
                  <c:v>5280</c:v>
                </c:pt>
                <c:pt idx="146">
                  <c:v>6380</c:v>
                </c:pt>
                <c:pt idx="147">
                  <c:v>4840</c:v>
                </c:pt>
                <c:pt idx="148">
                  <c:v>5280</c:v>
                </c:pt>
                <c:pt idx="149">
                  <c:v>6160</c:v>
                </c:pt>
                <c:pt idx="150">
                  <c:v>5060</c:v>
                </c:pt>
                <c:pt idx="151">
                  <c:v>11880</c:v>
                </c:pt>
                <c:pt idx="152">
                  <c:v>12320</c:v>
                </c:pt>
                <c:pt idx="153">
                  <c:v>12100</c:v>
                </c:pt>
                <c:pt idx="154">
                  <c:v>6270</c:v>
                </c:pt>
                <c:pt idx="155">
                  <c:v>5060</c:v>
                </c:pt>
                <c:pt idx="156">
                  <c:v>6380</c:v>
                </c:pt>
                <c:pt idx="157">
                  <c:v>3643</c:v>
                </c:pt>
                <c:pt idx="158">
                  <c:v>7500</c:v>
                </c:pt>
                <c:pt idx="159">
                  <c:v>8000</c:v>
                </c:pt>
                <c:pt idx="160">
                  <c:v>7500</c:v>
                </c:pt>
                <c:pt idx="161">
                  <c:v>7500</c:v>
                </c:pt>
                <c:pt idx="162">
                  <c:v>11150</c:v>
                </c:pt>
                <c:pt idx="163">
                  <c:v>14300</c:v>
                </c:pt>
                <c:pt idx="164">
                  <c:v>12100</c:v>
                </c:pt>
                <c:pt idx="165">
                  <c:v>7480</c:v>
                </c:pt>
                <c:pt idx="166">
                  <c:v>8800</c:v>
                </c:pt>
                <c:pt idx="167">
                  <c:v>7810</c:v>
                </c:pt>
                <c:pt idx="168">
                  <c:v>9405</c:v>
                </c:pt>
                <c:pt idx="169">
                  <c:v>8701</c:v>
                </c:pt>
                <c:pt idx="170">
                  <c:v>9284</c:v>
                </c:pt>
                <c:pt idx="171">
                  <c:v>6644</c:v>
                </c:pt>
                <c:pt idx="172">
                  <c:v>6908</c:v>
                </c:pt>
                <c:pt idx="173">
                  <c:v>14300</c:v>
                </c:pt>
                <c:pt idx="174">
                  <c:v>13640</c:v>
                </c:pt>
                <c:pt idx="175">
                  <c:v>13860</c:v>
                </c:pt>
                <c:pt idx="176">
                  <c:v>14080</c:v>
                </c:pt>
                <c:pt idx="177">
                  <c:v>6378</c:v>
                </c:pt>
                <c:pt idx="178">
                  <c:v>6908</c:v>
                </c:pt>
                <c:pt idx="179">
                  <c:v>5720</c:v>
                </c:pt>
                <c:pt idx="180">
                  <c:v>6048</c:v>
                </c:pt>
                <c:pt idx="181">
                  <c:v>9900</c:v>
                </c:pt>
                <c:pt idx="182">
                  <c:v>9240</c:v>
                </c:pt>
                <c:pt idx="183">
                  <c:v>8140</c:v>
                </c:pt>
                <c:pt idx="184">
                  <c:v>8580</c:v>
                </c:pt>
                <c:pt idx="185">
                  <c:v>9460</c:v>
                </c:pt>
                <c:pt idx="186">
                  <c:v>5940</c:v>
                </c:pt>
                <c:pt idx="187">
                  <c:v>10340</c:v>
                </c:pt>
                <c:pt idx="188">
                  <c:v>10802</c:v>
                </c:pt>
                <c:pt idx="189">
                  <c:v>10000</c:v>
                </c:pt>
                <c:pt idx="190">
                  <c:v>10500</c:v>
                </c:pt>
                <c:pt idx="191">
                  <c:v>10500</c:v>
                </c:pt>
                <c:pt idx="192">
                  <c:v>10472</c:v>
                </c:pt>
                <c:pt idx="193">
                  <c:v>12320</c:v>
                </c:pt>
                <c:pt idx="194">
                  <c:v>12566</c:v>
                </c:pt>
                <c:pt idx="195">
                  <c:v>12212</c:v>
                </c:pt>
                <c:pt idx="196">
                  <c:v>10835</c:v>
                </c:pt>
                <c:pt idx="197">
                  <c:v>10560</c:v>
                </c:pt>
                <c:pt idx="198">
                  <c:v>5940</c:v>
                </c:pt>
                <c:pt idx="199">
                  <c:v>7689</c:v>
                </c:pt>
                <c:pt idx="200">
                  <c:v>7689</c:v>
                </c:pt>
                <c:pt idx="201">
                  <c:v>13486</c:v>
                </c:pt>
                <c:pt idx="202">
                  <c:v>11902</c:v>
                </c:pt>
                <c:pt idx="203">
                  <c:v>12364</c:v>
                </c:pt>
                <c:pt idx="204">
                  <c:v>11836</c:v>
                </c:pt>
                <c:pt idx="205">
                  <c:v>11660</c:v>
                </c:pt>
                <c:pt idx="206">
                  <c:v>12144</c:v>
                </c:pt>
                <c:pt idx="207">
                  <c:v>4730</c:v>
                </c:pt>
                <c:pt idx="208">
                  <c:v>4510</c:v>
                </c:pt>
                <c:pt idx="209">
                  <c:v>9460</c:v>
                </c:pt>
                <c:pt idx="210">
                  <c:v>10670</c:v>
                </c:pt>
                <c:pt idx="211">
                  <c:v>8822</c:v>
                </c:pt>
                <c:pt idx="212">
                  <c:v>9020</c:v>
                </c:pt>
                <c:pt idx="213">
                  <c:v>9900</c:v>
                </c:pt>
                <c:pt idx="214">
                  <c:v>4620</c:v>
                </c:pt>
                <c:pt idx="215">
                  <c:v>6160</c:v>
                </c:pt>
                <c:pt idx="216">
                  <c:v>10670</c:v>
                </c:pt>
                <c:pt idx="217">
                  <c:v>11495</c:v>
                </c:pt>
                <c:pt idx="218">
                  <c:v>9992</c:v>
                </c:pt>
                <c:pt idx="219">
                  <c:v>13640</c:v>
                </c:pt>
                <c:pt idx="220">
                  <c:v>12804</c:v>
                </c:pt>
                <c:pt idx="221">
                  <c:v>12870</c:v>
                </c:pt>
                <c:pt idx="222">
                  <c:v>10000</c:v>
                </c:pt>
                <c:pt idx="223">
                  <c:v>10000</c:v>
                </c:pt>
                <c:pt idx="224">
                  <c:v>10000</c:v>
                </c:pt>
                <c:pt idx="225">
                  <c:v>13255</c:v>
                </c:pt>
                <c:pt idx="226">
                  <c:v>12100</c:v>
                </c:pt>
                <c:pt idx="227">
                  <c:v>11110</c:v>
                </c:pt>
                <c:pt idx="228">
                  <c:v>10670</c:v>
                </c:pt>
                <c:pt idx="229">
                  <c:v>9240</c:v>
                </c:pt>
                <c:pt idx="230">
                  <c:v>8470</c:v>
                </c:pt>
                <c:pt idx="231">
                  <c:v>7370</c:v>
                </c:pt>
                <c:pt idx="232">
                  <c:v>4620</c:v>
                </c:pt>
                <c:pt idx="233">
                  <c:v>5280</c:v>
                </c:pt>
                <c:pt idx="234">
                  <c:v>3300</c:v>
                </c:pt>
                <c:pt idx="235">
                  <c:v>4840</c:v>
                </c:pt>
                <c:pt idx="236">
                  <c:v>4840</c:v>
                </c:pt>
                <c:pt idx="237">
                  <c:v>5280</c:v>
                </c:pt>
                <c:pt idx="238">
                  <c:v>4400</c:v>
                </c:pt>
                <c:pt idx="239">
                  <c:v>4620</c:v>
                </c:pt>
                <c:pt idx="240">
                  <c:v>3960</c:v>
                </c:pt>
                <c:pt idx="241">
                  <c:v>4840</c:v>
                </c:pt>
                <c:pt idx="242">
                  <c:v>3740</c:v>
                </c:pt>
                <c:pt idx="243">
                  <c:v>4400</c:v>
                </c:pt>
                <c:pt idx="244">
                  <c:v>4620</c:v>
                </c:pt>
                <c:pt idx="245">
                  <c:v>3960</c:v>
                </c:pt>
                <c:pt idx="246">
                  <c:v>4840</c:v>
                </c:pt>
                <c:pt idx="247">
                  <c:v>4620</c:v>
                </c:pt>
                <c:pt idx="248">
                  <c:v>3960</c:v>
                </c:pt>
                <c:pt idx="249">
                  <c:v>4400</c:v>
                </c:pt>
                <c:pt idx="250">
                  <c:v>3300</c:v>
                </c:pt>
                <c:pt idx="251">
                  <c:v>3080</c:v>
                </c:pt>
                <c:pt idx="252">
                  <c:v>3300</c:v>
                </c:pt>
                <c:pt idx="253">
                  <c:v>3080</c:v>
                </c:pt>
                <c:pt idx="254">
                  <c:v>4620</c:v>
                </c:pt>
                <c:pt idx="255">
                  <c:v>3520</c:v>
                </c:pt>
                <c:pt idx="256">
                  <c:v>4400</c:v>
                </c:pt>
                <c:pt idx="257">
                  <c:v>3520</c:v>
                </c:pt>
                <c:pt idx="258">
                  <c:v>4840</c:v>
                </c:pt>
                <c:pt idx="259">
                  <c:v>3300</c:v>
                </c:pt>
                <c:pt idx="260">
                  <c:v>3740</c:v>
                </c:pt>
                <c:pt idx="261">
                  <c:v>4180</c:v>
                </c:pt>
                <c:pt idx="262">
                  <c:v>4070</c:v>
                </c:pt>
                <c:pt idx="263">
                  <c:v>4180</c:v>
                </c:pt>
                <c:pt idx="264">
                  <c:v>3520</c:v>
                </c:pt>
                <c:pt idx="265">
                  <c:v>3960</c:v>
                </c:pt>
                <c:pt idx="266">
                  <c:v>4180</c:v>
                </c:pt>
                <c:pt idx="267">
                  <c:v>3960</c:v>
                </c:pt>
                <c:pt idx="268">
                  <c:v>3740</c:v>
                </c:pt>
                <c:pt idx="269">
                  <c:v>3740</c:v>
                </c:pt>
                <c:pt idx="270">
                  <c:v>3355</c:v>
                </c:pt>
                <c:pt idx="271">
                  <c:v>4620</c:v>
                </c:pt>
                <c:pt idx="272">
                  <c:v>4620</c:v>
                </c:pt>
                <c:pt idx="273">
                  <c:v>3520</c:v>
                </c:pt>
                <c:pt idx="274">
                  <c:v>5170</c:v>
                </c:pt>
                <c:pt idx="275">
                  <c:v>4400</c:v>
                </c:pt>
                <c:pt idx="276">
                  <c:v>3300</c:v>
                </c:pt>
                <c:pt idx="277">
                  <c:v>4345</c:v>
                </c:pt>
                <c:pt idx="278">
                  <c:v>4840</c:v>
                </c:pt>
                <c:pt idx="279">
                  <c:v>4180</c:v>
                </c:pt>
                <c:pt idx="280">
                  <c:v>3960</c:v>
                </c:pt>
                <c:pt idx="281">
                  <c:v>5280</c:v>
                </c:pt>
                <c:pt idx="282">
                  <c:v>3300</c:v>
                </c:pt>
                <c:pt idx="283">
                  <c:v>5060</c:v>
                </c:pt>
                <c:pt idx="284">
                  <c:v>6380</c:v>
                </c:pt>
                <c:pt idx="285">
                  <c:v>5060</c:v>
                </c:pt>
                <c:pt idx="286">
                  <c:v>5060</c:v>
                </c:pt>
                <c:pt idx="287">
                  <c:v>6160</c:v>
                </c:pt>
                <c:pt idx="288">
                  <c:v>4840</c:v>
                </c:pt>
                <c:pt idx="289">
                  <c:v>5500</c:v>
                </c:pt>
                <c:pt idx="290">
                  <c:v>6380</c:v>
                </c:pt>
                <c:pt idx="291">
                  <c:v>5500</c:v>
                </c:pt>
                <c:pt idx="292">
                  <c:v>6380</c:v>
                </c:pt>
                <c:pt idx="293">
                  <c:v>5720</c:v>
                </c:pt>
                <c:pt idx="294">
                  <c:v>4840</c:v>
                </c:pt>
                <c:pt idx="295">
                  <c:v>5720</c:v>
                </c:pt>
                <c:pt idx="296">
                  <c:v>5720</c:v>
                </c:pt>
                <c:pt idx="297">
                  <c:v>6325</c:v>
                </c:pt>
                <c:pt idx="298">
                  <c:v>6380</c:v>
                </c:pt>
                <c:pt idx="299">
                  <c:v>5280</c:v>
                </c:pt>
                <c:pt idx="300">
                  <c:v>5280</c:v>
                </c:pt>
                <c:pt idx="301">
                  <c:v>6380</c:v>
                </c:pt>
                <c:pt idx="302">
                  <c:v>6380</c:v>
                </c:pt>
                <c:pt idx="303">
                  <c:v>6160</c:v>
                </c:pt>
                <c:pt idx="304">
                  <c:v>4840</c:v>
                </c:pt>
                <c:pt idx="305">
                  <c:v>6160</c:v>
                </c:pt>
                <c:pt idx="306">
                  <c:v>5280</c:v>
                </c:pt>
                <c:pt idx="307">
                  <c:v>5060</c:v>
                </c:pt>
                <c:pt idx="308">
                  <c:v>5500</c:v>
                </c:pt>
                <c:pt idx="309">
                  <c:v>5060</c:v>
                </c:pt>
              </c:numCache>
            </c:numRef>
          </c:xVal>
          <c:yVal>
            <c:numRef>
              <c:f>BD!$Q$2:$Q$311</c:f>
              <c:numCache>
                <c:formatCode>General</c:formatCode>
                <c:ptCount val="310"/>
                <c:pt idx="0">
                  <c:v>5</c:v>
                </c:pt>
                <c:pt idx="1">
                  <c:v>3</c:v>
                </c:pt>
                <c:pt idx="2">
                  <c:v>2</c:v>
                </c:pt>
                <c:pt idx="3">
                  <c:v>4</c:v>
                </c:pt>
                <c:pt idx="4">
                  <c:v>4</c:v>
                </c:pt>
                <c:pt idx="5">
                  <c:v>4</c:v>
                </c:pt>
                <c:pt idx="6">
                  <c:v>4</c:v>
                </c:pt>
                <c:pt idx="7">
                  <c:v>3.1</c:v>
                </c:pt>
                <c:pt idx="8">
                  <c:v>4</c:v>
                </c:pt>
                <c:pt idx="9">
                  <c:v>3</c:v>
                </c:pt>
                <c:pt idx="10">
                  <c:v>5</c:v>
                </c:pt>
                <c:pt idx="11">
                  <c:v>3</c:v>
                </c:pt>
                <c:pt idx="12">
                  <c:v>3</c:v>
                </c:pt>
                <c:pt idx="13">
                  <c:v>3</c:v>
                </c:pt>
                <c:pt idx="14">
                  <c:v>5</c:v>
                </c:pt>
                <c:pt idx="15">
                  <c:v>2</c:v>
                </c:pt>
                <c:pt idx="16">
                  <c:v>5</c:v>
                </c:pt>
                <c:pt idx="17">
                  <c:v>5</c:v>
                </c:pt>
                <c:pt idx="18">
                  <c:v>5</c:v>
                </c:pt>
                <c:pt idx="19">
                  <c:v>3</c:v>
                </c:pt>
                <c:pt idx="20">
                  <c:v>3</c:v>
                </c:pt>
                <c:pt idx="21">
                  <c:v>3</c:v>
                </c:pt>
                <c:pt idx="22">
                  <c:v>5</c:v>
                </c:pt>
                <c:pt idx="23">
                  <c:v>4</c:v>
                </c:pt>
                <c:pt idx="24">
                  <c:v>5</c:v>
                </c:pt>
                <c:pt idx="25">
                  <c:v>3</c:v>
                </c:pt>
                <c:pt idx="26">
                  <c:v>4</c:v>
                </c:pt>
                <c:pt idx="27">
                  <c:v>3</c:v>
                </c:pt>
                <c:pt idx="28">
                  <c:v>5</c:v>
                </c:pt>
                <c:pt idx="29">
                  <c:v>5</c:v>
                </c:pt>
                <c:pt idx="30">
                  <c:v>5</c:v>
                </c:pt>
                <c:pt idx="31">
                  <c:v>4</c:v>
                </c:pt>
                <c:pt idx="32">
                  <c:v>3</c:v>
                </c:pt>
                <c:pt idx="33">
                  <c:v>3</c:v>
                </c:pt>
                <c:pt idx="34">
                  <c:v>4</c:v>
                </c:pt>
                <c:pt idx="35">
                  <c:v>3</c:v>
                </c:pt>
                <c:pt idx="36">
                  <c:v>5</c:v>
                </c:pt>
                <c:pt idx="37">
                  <c:v>4</c:v>
                </c:pt>
                <c:pt idx="38">
                  <c:v>3</c:v>
                </c:pt>
                <c:pt idx="39">
                  <c:v>5</c:v>
                </c:pt>
                <c:pt idx="40">
                  <c:v>5</c:v>
                </c:pt>
                <c:pt idx="41">
                  <c:v>3</c:v>
                </c:pt>
                <c:pt idx="42">
                  <c:v>4</c:v>
                </c:pt>
                <c:pt idx="43">
                  <c:v>5</c:v>
                </c:pt>
                <c:pt idx="44">
                  <c:v>2</c:v>
                </c:pt>
                <c:pt idx="45">
                  <c:v>3</c:v>
                </c:pt>
                <c:pt idx="46">
                  <c:v>3</c:v>
                </c:pt>
                <c:pt idx="47">
                  <c:v>4</c:v>
                </c:pt>
                <c:pt idx="48">
                  <c:v>3</c:v>
                </c:pt>
                <c:pt idx="49">
                  <c:v>5</c:v>
                </c:pt>
                <c:pt idx="50">
                  <c:v>4</c:v>
                </c:pt>
                <c:pt idx="51">
                  <c:v>4</c:v>
                </c:pt>
                <c:pt idx="52">
                  <c:v>5</c:v>
                </c:pt>
                <c:pt idx="53">
                  <c:v>4</c:v>
                </c:pt>
                <c:pt idx="54">
                  <c:v>3</c:v>
                </c:pt>
                <c:pt idx="55">
                  <c:v>4</c:v>
                </c:pt>
                <c:pt idx="56">
                  <c:v>3</c:v>
                </c:pt>
                <c:pt idx="57">
                  <c:v>3</c:v>
                </c:pt>
                <c:pt idx="58">
                  <c:v>4</c:v>
                </c:pt>
                <c:pt idx="59">
                  <c:v>5</c:v>
                </c:pt>
                <c:pt idx="60">
                  <c:v>3</c:v>
                </c:pt>
                <c:pt idx="61">
                  <c:v>4</c:v>
                </c:pt>
                <c:pt idx="62">
                  <c:v>5</c:v>
                </c:pt>
                <c:pt idx="63">
                  <c:v>4</c:v>
                </c:pt>
                <c:pt idx="64">
                  <c:v>5</c:v>
                </c:pt>
                <c:pt idx="65">
                  <c:v>3</c:v>
                </c:pt>
                <c:pt idx="66">
                  <c:v>4</c:v>
                </c:pt>
                <c:pt idx="67">
                  <c:v>4</c:v>
                </c:pt>
                <c:pt idx="68">
                  <c:v>4</c:v>
                </c:pt>
                <c:pt idx="69">
                  <c:v>3</c:v>
                </c:pt>
                <c:pt idx="70">
                  <c:v>5</c:v>
                </c:pt>
                <c:pt idx="71">
                  <c:v>3</c:v>
                </c:pt>
                <c:pt idx="72">
                  <c:v>5</c:v>
                </c:pt>
                <c:pt idx="73">
                  <c:v>5</c:v>
                </c:pt>
                <c:pt idx="74">
                  <c:v>4</c:v>
                </c:pt>
                <c:pt idx="75">
                  <c:v>3.5</c:v>
                </c:pt>
                <c:pt idx="76">
                  <c:v>4</c:v>
                </c:pt>
                <c:pt idx="77">
                  <c:v>3</c:v>
                </c:pt>
                <c:pt idx="78">
                  <c:v>3</c:v>
                </c:pt>
                <c:pt idx="79">
                  <c:v>5</c:v>
                </c:pt>
                <c:pt idx="80">
                  <c:v>5</c:v>
                </c:pt>
                <c:pt idx="81">
                  <c:v>5</c:v>
                </c:pt>
                <c:pt idx="82">
                  <c:v>4</c:v>
                </c:pt>
                <c:pt idx="83">
                  <c:v>5</c:v>
                </c:pt>
                <c:pt idx="84">
                  <c:v>5</c:v>
                </c:pt>
                <c:pt idx="85">
                  <c:v>1</c:v>
                </c:pt>
                <c:pt idx="86">
                  <c:v>5</c:v>
                </c:pt>
                <c:pt idx="87">
                  <c:v>5</c:v>
                </c:pt>
                <c:pt idx="88">
                  <c:v>3</c:v>
                </c:pt>
                <c:pt idx="89">
                  <c:v>3</c:v>
                </c:pt>
                <c:pt idx="90">
                  <c:v>3</c:v>
                </c:pt>
                <c:pt idx="91">
                  <c:v>5</c:v>
                </c:pt>
                <c:pt idx="92">
                  <c:v>4</c:v>
                </c:pt>
                <c:pt idx="93">
                  <c:v>3</c:v>
                </c:pt>
                <c:pt idx="94">
                  <c:v>4</c:v>
                </c:pt>
                <c:pt idx="95">
                  <c:v>5</c:v>
                </c:pt>
                <c:pt idx="96">
                  <c:v>5</c:v>
                </c:pt>
                <c:pt idx="97">
                  <c:v>3</c:v>
                </c:pt>
                <c:pt idx="98">
                  <c:v>5</c:v>
                </c:pt>
                <c:pt idx="99">
                  <c:v>2</c:v>
                </c:pt>
                <c:pt idx="100">
                  <c:v>5</c:v>
                </c:pt>
                <c:pt idx="101">
                  <c:v>5</c:v>
                </c:pt>
                <c:pt idx="102">
                  <c:v>4</c:v>
                </c:pt>
                <c:pt idx="103">
                  <c:v>5</c:v>
                </c:pt>
                <c:pt idx="104">
                  <c:v>3</c:v>
                </c:pt>
                <c:pt idx="105">
                  <c:v>5</c:v>
                </c:pt>
                <c:pt idx="106">
                  <c:v>3</c:v>
                </c:pt>
                <c:pt idx="107">
                  <c:v>3</c:v>
                </c:pt>
                <c:pt idx="108">
                  <c:v>5</c:v>
                </c:pt>
                <c:pt idx="109">
                  <c:v>4</c:v>
                </c:pt>
                <c:pt idx="110">
                  <c:v>3</c:v>
                </c:pt>
                <c:pt idx="111">
                  <c:v>3</c:v>
                </c:pt>
                <c:pt idx="112">
                  <c:v>2.8</c:v>
                </c:pt>
                <c:pt idx="113">
                  <c:v>4</c:v>
                </c:pt>
                <c:pt idx="114">
                  <c:v>3</c:v>
                </c:pt>
                <c:pt idx="115">
                  <c:v>3</c:v>
                </c:pt>
                <c:pt idx="116">
                  <c:v>3</c:v>
                </c:pt>
                <c:pt idx="117">
                  <c:v>5</c:v>
                </c:pt>
                <c:pt idx="118">
                  <c:v>2</c:v>
                </c:pt>
                <c:pt idx="119">
                  <c:v>4</c:v>
                </c:pt>
                <c:pt idx="120">
                  <c:v>4</c:v>
                </c:pt>
                <c:pt idx="121">
                  <c:v>3</c:v>
                </c:pt>
                <c:pt idx="122">
                  <c:v>3</c:v>
                </c:pt>
                <c:pt idx="123">
                  <c:v>3</c:v>
                </c:pt>
                <c:pt idx="124">
                  <c:v>3</c:v>
                </c:pt>
                <c:pt idx="125">
                  <c:v>4</c:v>
                </c:pt>
                <c:pt idx="126">
                  <c:v>5</c:v>
                </c:pt>
                <c:pt idx="127">
                  <c:v>5</c:v>
                </c:pt>
                <c:pt idx="128">
                  <c:v>4</c:v>
                </c:pt>
                <c:pt idx="129">
                  <c:v>5</c:v>
                </c:pt>
                <c:pt idx="130">
                  <c:v>3</c:v>
                </c:pt>
                <c:pt idx="131">
                  <c:v>3</c:v>
                </c:pt>
                <c:pt idx="132">
                  <c:v>3</c:v>
                </c:pt>
                <c:pt idx="133">
                  <c:v>3</c:v>
                </c:pt>
                <c:pt idx="134">
                  <c:v>4</c:v>
                </c:pt>
                <c:pt idx="135">
                  <c:v>3</c:v>
                </c:pt>
                <c:pt idx="136">
                  <c:v>5</c:v>
                </c:pt>
                <c:pt idx="137">
                  <c:v>4</c:v>
                </c:pt>
                <c:pt idx="138">
                  <c:v>5</c:v>
                </c:pt>
                <c:pt idx="139">
                  <c:v>5</c:v>
                </c:pt>
                <c:pt idx="140">
                  <c:v>4</c:v>
                </c:pt>
                <c:pt idx="141">
                  <c:v>5</c:v>
                </c:pt>
                <c:pt idx="142">
                  <c:v>2.5</c:v>
                </c:pt>
                <c:pt idx="143">
                  <c:v>4</c:v>
                </c:pt>
                <c:pt idx="144">
                  <c:v>3</c:v>
                </c:pt>
                <c:pt idx="145">
                  <c:v>1</c:v>
                </c:pt>
                <c:pt idx="146">
                  <c:v>5</c:v>
                </c:pt>
                <c:pt idx="147">
                  <c:v>3</c:v>
                </c:pt>
                <c:pt idx="148">
                  <c:v>4</c:v>
                </c:pt>
                <c:pt idx="149">
                  <c:v>3</c:v>
                </c:pt>
                <c:pt idx="150">
                  <c:v>3</c:v>
                </c:pt>
                <c:pt idx="151">
                  <c:v>4</c:v>
                </c:pt>
                <c:pt idx="152">
                  <c:v>3</c:v>
                </c:pt>
                <c:pt idx="153">
                  <c:v>4</c:v>
                </c:pt>
                <c:pt idx="154">
                  <c:v>2</c:v>
                </c:pt>
                <c:pt idx="155">
                  <c:v>4</c:v>
                </c:pt>
                <c:pt idx="156">
                  <c:v>5</c:v>
                </c:pt>
                <c:pt idx="157">
                  <c:v>3</c:v>
                </c:pt>
                <c:pt idx="158">
                  <c:v>4</c:v>
                </c:pt>
                <c:pt idx="159">
                  <c:v>5</c:v>
                </c:pt>
                <c:pt idx="160">
                  <c:v>3</c:v>
                </c:pt>
                <c:pt idx="161">
                  <c:v>5</c:v>
                </c:pt>
                <c:pt idx="162">
                  <c:v>5</c:v>
                </c:pt>
                <c:pt idx="163">
                  <c:v>5</c:v>
                </c:pt>
                <c:pt idx="164">
                  <c:v>3</c:v>
                </c:pt>
                <c:pt idx="165">
                  <c:v>5</c:v>
                </c:pt>
                <c:pt idx="166">
                  <c:v>3</c:v>
                </c:pt>
                <c:pt idx="167">
                  <c:v>4</c:v>
                </c:pt>
                <c:pt idx="168">
                  <c:v>5</c:v>
                </c:pt>
                <c:pt idx="169">
                  <c:v>5</c:v>
                </c:pt>
                <c:pt idx="170">
                  <c:v>3</c:v>
                </c:pt>
                <c:pt idx="171">
                  <c:v>3</c:v>
                </c:pt>
                <c:pt idx="172">
                  <c:v>3</c:v>
                </c:pt>
                <c:pt idx="173">
                  <c:v>5</c:v>
                </c:pt>
                <c:pt idx="174">
                  <c:v>5</c:v>
                </c:pt>
                <c:pt idx="175">
                  <c:v>3</c:v>
                </c:pt>
                <c:pt idx="176">
                  <c:v>5</c:v>
                </c:pt>
                <c:pt idx="177">
                  <c:v>3</c:v>
                </c:pt>
                <c:pt idx="178">
                  <c:v>4</c:v>
                </c:pt>
                <c:pt idx="179">
                  <c:v>4</c:v>
                </c:pt>
                <c:pt idx="180">
                  <c:v>3</c:v>
                </c:pt>
                <c:pt idx="181">
                  <c:v>5</c:v>
                </c:pt>
                <c:pt idx="182">
                  <c:v>5</c:v>
                </c:pt>
                <c:pt idx="183">
                  <c:v>4</c:v>
                </c:pt>
                <c:pt idx="184">
                  <c:v>4</c:v>
                </c:pt>
                <c:pt idx="185">
                  <c:v>3</c:v>
                </c:pt>
                <c:pt idx="186">
                  <c:v>3</c:v>
                </c:pt>
                <c:pt idx="187">
                  <c:v>3</c:v>
                </c:pt>
                <c:pt idx="188">
                  <c:v>4</c:v>
                </c:pt>
                <c:pt idx="189">
                  <c:v>5</c:v>
                </c:pt>
                <c:pt idx="190">
                  <c:v>3</c:v>
                </c:pt>
                <c:pt idx="191">
                  <c:v>4</c:v>
                </c:pt>
                <c:pt idx="192">
                  <c:v>3</c:v>
                </c:pt>
                <c:pt idx="193">
                  <c:v>4</c:v>
                </c:pt>
                <c:pt idx="194">
                  <c:v>5</c:v>
                </c:pt>
                <c:pt idx="195">
                  <c:v>5</c:v>
                </c:pt>
                <c:pt idx="196">
                  <c:v>3</c:v>
                </c:pt>
                <c:pt idx="197">
                  <c:v>5</c:v>
                </c:pt>
                <c:pt idx="198">
                  <c:v>3</c:v>
                </c:pt>
                <c:pt idx="199">
                  <c:v>3</c:v>
                </c:pt>
                <c:pt idx="200">
                  <c:v>4</c:v>
                </c:pt>
                <c:pt idx="201">
                  <c:v>5</c:v>
                </c:pt>
                <c:pt idx="202">
                  <c:v>5</c:v>
                </c:pt>
                <c:pt idx="203">
                  <c:v>5</c:v>
                </c:pt>
                <c:pt idx="204">
                  <c:v>4</c:v>
                </c:pt>
                <c:pt idx="205">
                  <c:v>3</c:v>
                </c:pt>
                <c:pt idx="206">
                  <c:v>4</c:v>
                </c:pt>
                <c:pt idx="207">
                  <c:v>3</c:v>
                </c:pt>
                <c:pt idx="208">
                  <c:v>4</c:v>
                </c:pt>
                <c:pt idx="209">
                  <c:v>4</c:v>
                </c:pt>
                <c:pt idx="210">
                  <c:v>4</c:v>
                </c:pt>
                <c:pt idx="211">
                  <c:v>3</c:v>
                </c:pt>
                <c:pt idx="212">
                  <c:v>4</c:v>
                </c:pt>
                <c:pt idx="213">
                  <c:v>3</c:v>
                </c:pt>
                <c:pt idx="214">
                  <c:v>4</c:v>
                </c:pt>
                <c:pt idx="215">
                  <c:v>3</c:v>
                </c:pt>
                <c:pt idx="216">
                  <c:v>2</c:v>
                </c:pt>
                <c:pt idx="217">
                  <c:v>5</c:v>
                </c:pt>
                <c:pt idx="218">
                  <c:v>3</c:v>
                </c:pt>
                <c:pt idx="219">
                  <c:v>3</c:v>
                </c:pt>
                <c:pt idx="220">
                  <c:v>2</c:v>
                </c:pt>
                <c:pt idx="221">
                  <c:v>3</c:v>
                </c:pt>
                <c:pt idx="222">
                  <c:v>5</c:v>
                </c:pt>
                <c:pt idx="223">
                  <c:v>4</c:v>
                </c:pt>
                <c:pt idx="224">
                  <c:v>5</c:v>
                </c:pt>
                <c:pt idx="225">
                  <c:v>2.5</c:v>
                </c:pt>
                <c:pt idx="226">
                  <c:v>4</c:v>
                </c:pt>
                <c:pt idx="227">
                  <c:v>3</c:v>
                </c:pt>
                <c:pt idx="228">
                  <c:v>4</c:v>
                </c:pt>
                <c:pt idx="229">
                  <c:v>2</c:v>
                </c:pt>
                <c:pt idx="230">
                  <c:v>5</c:v>
                </c:pt>
                <c:pt idx="231">
                  <c:v>3</c:v>
                </c:pt>
                <c:pt idx="232">
                  <c:v>4</c:v>
                </c:pt>
                <c:pt idx="233">
                  <c:v>4</c:v>
                </c:pt>
                <c:pt idx="234">
                  <c:v>4</c:v>
                </c:pt>
                <c:pt idx="235">
                  <c:v>3</c:v>
                </c:pt>
                <c:pt idx="236">
                  <c:v>3.4</c:v>
                </c:pt>
                <c:pt idx="237">
                  <c:v>2.8</c:v>
                </c:pt>
                <c:pt idx="238">
                  <c:v>4</c:v>
                </c:pt>
                <c:pt idx="239">
                  <c:v>3</c:v>
                </c:pt>
                <c:pt idx="240">
                  <c:v>3</c:v>
                </c:pt>
                <c:pt idx="241">
                  <c:v>2</c:v>
                </c:pt>
                <c:pt idx="242">
                  <c:v>4</c:v>
                </c:pt>
                <c:pt idx="243">
                  <c:v>4</c:v>
                </c:pt>
                <c:pt idx="244">
                  <c:v>2.8</c:v>
                </c:pt>
                <c:pt idx="245">
                  <c:v>3</c:v>
                </c:pt>
                <c:pt idx="246">
                  <c:v>4</c:v>
                </c:pt>
                <c:pt idx="247">
                  <c:v>3.4</c:v>
                </c:pt>
                <c:pt idx="248">
                  <c:v>4</c:v>
                </c:pt>
                <c:pt idx="249">
                  <c:v>3.1</c:v>
                </c:pt>
                <c:pt idx="250">
                  <c:v>3</c:v>
                </c:pt>
                <c:pt idx="251">
                  <c:v>2.8</c:v>
                </c:pt>
                <c:pt idx="252">
                  <c:v>4</c:v>
                </c:pt>
                <c:pt idx="253">
                  <c:v>4</c:v>
                </c:pt>
                <c:pt idx="254">
                  <c:v>5</c:v>
                </c:pt>
                <c:pt idx="255">
                  <c:v>3</c:v>
                </c:pt>
                <c:pt idx="256">
                  <c:v>5</c:v>
                </c:pt>
                <c:pt idx="257">
                  <c:v>4</c:v>
                </c:pt>
                <c:pt idx="258">
                  <c:v>3</c:v>
                </c:pt>
                <c:pt idx="259">
                  <c:v>3</c:v>
                </c:pt>
                <c:pt idx="260">
                  <c:v>3</c:v>
                </c:pt>
                <c:pt idx="261">
                  <c:v>3</c:v>
                </c:pt>
                <c:pt idx="262">
                  <c:v>2</c:v>
                </c:pt>
                <c:pt idx="263">
                  <c:v>4</c:v>
                </c:pt>
                <c:pt idx="264">
                  <c:v>5</c:v>
                </c:pt>
                <c:pt idx="265">
                  <c:v>5</c:v>
                </c:pt>
                <c:pt idx="266">
                  <c:v>2.8</c:v>
                </c:pt>
                <c:pt idx="267">
                  <c:v>5</c:v>
                </c:pt>
                <c:pt idx="268">
                  <c:v>4</c:v>
                </c:pt>
                <c:pt idx="269">
                  <c:v>2.8</c:v>
                </c:pt>
                <c:pt idx="270">
                  <c:v>4</c:v>
                </c:pt>
                <c:pt idx="271">
                  <c:v>5</c:v>
                </c:pt>
                <c:pt idx="272">
                  <c:v>5</c:v>
                </c:pt>
                <c:pt idx="273">
                  <c:v>4</c:v>
                </c:pt>
                <c:pt idx="274">
                  <c:v>2.8</c:v>
                </c:pt>
                <c:pt idx="275">
                  <c:v>3</c:v>
                </c:pt>
                <c:pt idx="276">
                  <c:v>2.5</c:v>
                </c:pt>
                <c:pt idx="277">
                  <c:v>1.5</c:v>
                </c:pt>
                <c:pt idx="278">
                  <c:v>2.4</c:v>
                </c:pt>
                <c:pt idx="279">
                  <c:v>4</c:v>
                </c:pt>
                <c:pt idx="280">
                  <c:v>3</c:v>
                </c:pt>
                <c:pt idx="281">
                  <c:v>5</c:v>
                </c:pt>
                <c:pt idx="282">
                  <c:v>5</c:v>
                </c:pt>
                <c:pt idx="283">
                  <c:v>5</c:v>
                </c:pt>
                <c:pt idx="284">
                  <c:v>5</c:v>
                </c:pt>
                <c:pt idx="285">
                  <c:v>2.8</c:v>
                </c:pt>
                <c:pt idx="286">
                  <c:v>4</c:v>
                </c:pt>
                <c:pt idx="287">
                  <c:v>2.8</c:v>
                </c:pt>
                <c:pt idx="288">
                  <c:v>3.4</c:v>
                </c:pt>
                <c:pt idx="289">
                  <c:v>3.1</c:v>
                </c:pt>
                <c:pt idx="290">
                  <c:v>3</c:v>
                </c:pt>
                <c:pt idx="291">
                  <c:v>3.6</c:v>
                </c:pt>
                <c:pt idx="292">
                  <c:v>3</c:v>
                </c:pt>
                <c:pt idx="293">
                  <c:v>4</c:v>
                </c:pt>
                <c:pt idx="294">
                  <c:v>3</c:v>
                </c:pt>
                <c:pt idx="295">
                  <c:v>4</c:v>
                </c:pt>
                <c:pt idx="296">
                  <c:v>5</c:v>
                </c:pt>
                <c:pt idx="297">
                  <c:v>3</c:v>
                </c:pt>
                <c:pt idx="298">
                  <c:v>3</c:v>
                </c:pt>
                <c:pt idx="299">
                  <c:v>3</c:v>
                </c:pt>
                <c:pt idx="300">
                  <c:v>3</c:v>
                </c:pt>
                <c:pt idx="301">
                  <c:v>3.7</c:v>
                </c:pt>
                <c:pt idx="302">
                  <c:v>3</c:v>
                </c:pt>
                <c:pt idx="303">
                  <c:v>3.4</c:v>
                </c:pt>
                <c:pt idx="304">
                  <c:v>5</c:v>
                </c:pt>
                <c:pt idx="305">
                  <c:v>5</c:v>
                </c:pt>
                <c:pt idx="306">
                  <c:v>4</c:v>
                </c:pt>
                <c:pt idx="307">
                  <c:v>2</c:v>
                </c:pt>
                <c:pt idx="308">
                  <c:v>1.5</c:v>
                </c:pt>
                <c:pt idx="309">
                  <c:v>3.4</c:v>
                </c:pt>
              </c:numCache>
            </c:numRef>
          </c:yVal>
          <c:smooth val="0"/>
          <c:extLst>
            <c:ext xmlns:c16="http://schemas.microsoft.com/office/drawing/2014/chart" uri="{C3380CC4-5D6E-409C-BE32-E72D297353CC}">
              <c16:uniqueId val="{00000000-779A-4652-A9F8-DC742DB085C8}"/>
            </c:ext>
          </c:extLst>
        </c:ser>
        <c:dLbls>
          <c:showLegendKey val="0"/>
          <c:showVal val="0"/>
          <c:showCatName val="0"/>
          <c:showSerName val="0"/>
          <c:showPercent val="0"/>
          <c:showBubbleSize val="0"/>
        </c:dLbls>
        <c:axId val="1492568672"/>
        <c:axId val="1492569152"/>
      </c:scatterChart>
      <c:valAx>
        <c:axId val="14925686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92569152"/>
        <c:crosses val="autoZero"/>
        <c:crossBetween val="midCat"/>
      </c:valAx>
      <c:valAx>
        <c:axId val="149256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925686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522514</xdr:colOff>
      <xdr:row>63</xdr:row>
      <xdr:rowOff>43543</xdr:rowOff>
    </xdr:from>
    <xdr:to>
      <xdr:col>5</xdr:col>
      <xdr:colOff>239486</xdr:colOff>
      <xdr:row>79</xdr:row>
      <xdr:rowOff>130629</xdr:rowOff>
    </xdr:to>
    <xdr:graphicFrame macro="">
      <xdr:nvGraphicFramePr>
        <xdr:cNvPr id="4" name="Gráfico 3">
          <a:extLst>
            <a:ext uri="{FF2B5EF4-FFF2-40B4-BE49-F238E27FC236}">
              <a16:creationId xmlns:a16="http://schemas.microsoft.com/office/drawing/2014/main" id="{B55C2809-B5CA-4FBF-892D-542E525AB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381000</xdr:colOff>
      <xdr:row>0</xdr:row>
      <xdr:rowOff>17884</xdr:rowOff>
    </xdr:from>
    <xdr:to>
      <xdr:col>3</xdr:col>
      <xdr:colOff>1436913</xdr:colOff>
      <xdr:row>1</xdr:row>
      <xdr:rowOff>43542</xdr:rowOff>
    </xdr:to>
    <xdr:pic>
      <xdr:nvPicPr>
        <xdr:cNvPr id="6" name="Gráfico 5" descr="Crecimiento empresarial contorno">
          <a:extLst>
            <a:ext uri="{FF2B5EF4-FFF2-40B4-BE49-F238E27FC236}">
              <a16:creationId xmlns:a16="http://schemas.microsoft.com/office/drawing/2014/main" id="{BE32636A-8E6B-6832-7F7A-AF528390B9A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13514" y="17884"/>
          <a:ext cx="1055913" cy="79854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3D614B-D137-4453-833F-40C71C82470E}" name="TablaBD" displayName="TablaBD" ref="A1:T311" totalsRowShown="0" headerRowDxfId="21" dataDxfId="20">
  <autoFilter ref="A1:T311" xr:uid="{AF3D614B-D137-4453-833F-40C71C82470E}"/>
  <tableColumns count="20">
    <tableColumn id="1" xr3:uid="{0BF27591-EA3D-4F47-9F7D-0F23EEA43E4F}" name="Nombre del empleado" dataDxfId="19"/>
    <tableColumn id="2" xr3:uid="{63AD57A4-4D4E-4F5A-8F60-710065DD1164}" name="ID" dataDxfId="18"/>
    <tableColumn id="3" xr3:uid="{AAB533F9-919A-4E4B-97A5-ADBC846675C5}" name="Puntuación rendimiento ID" dataDxfId="17"/>
    <tableColumn id="4" xr3:uid="{708A8183-1D42-4D31-BF8C-AFD326D625B8}" name="Salario mensual corregido" dataDxfId="16"/>
    <tableColumn id="5" xr3:uid="{1BFD0EC0-E1F1-4F77-9A6A-AE4321D3E08F}" name="Cargo" dataDxfId="15"/>
    <tableColumn id="6" xr3:uid="{5CD6CF23-604D-425A-B63E-579F14916D9A}" name="Fecha de Nacimiento" dataDxfId="14"/>
    <tableColumn id="7" xr3:uid="{14CA05D7-33C8-49BB-87D2-B2AD8AFF8FBA}" name="Sexo" dataDxfId="13"/>
    <tableColumn id="8" xr3:uid="{B6B0D2F3-0BAC-46B2-ADBC-16F53243DC0C}" name="Estado Civil" dataDxfId="12"/>
    <tableColumn id="9" xr3:uid="{0E39E04C-EA0F-42C9-9710-B9A4EB918A2E}" name="Fecha de Contratación" dataDxfId="11"/>
    <tableColumn id="10" xr3:uid="{2A271D88-CD70-4D0E-9072-99C5DF07891E}" name="Fecha de Salida" dataDxfId="10"/>
    <tableColumn id="11" xr3:uid="{C84CA150-6684-4A22-81B8-992E2244191B}" name="Motivo Salida" dataDxfId="9"/>
    <tableColumn id="12" xr3:uid="{37583187-3E3A-4DE7-A2A6-72302F158E86}" name="Estado de miembro" dataDxfId="8"/>
    <tableColumn id="13" xr3:uid="{B75B2707-3F84-4BBC-B806-986921F03E3C}" name="Departamento" dataDxfId="7"/>
    <tableColumn id="14" xr3:uid="{6897790A-B046-43E4-970C-328511C65401}" name="Fuente Reclutamiento" dataDxfId="6"/>
    <tableColumn id="15" xr3:uid="{F351E6B9-25BF-4CFC-8D9D-AA3E24D6A48D}" name="Registro de rendimiento " dataDxfId="5"/>
    <tableColumn id="16" xr3:uid="{8A33CE54-C8D8-4476-B143-117566748AFC}" name="Encuesta de compromiso" dataDxfId="4"/>
    <tableColumn id="17" xr3:uid="{F2EC087C-1F45-40C5-9290-A3E62BC1FE85}" name="Índice de Satisfacción" dataDxfId="3"/>
    <tableColumn id="18" xr3:uid="{53E2DAE5-704D-4C2A-9AC1-55FCD14F5771}" name="SpecialProjectsCount" dataDxfId="2"/>
    <tableColumn id="19" xr3:uid="{AE6C05FF-0F6D-4A91-9487-6BCDCCA3EFA6}" name="Última atualización de rendimiento" dataDxfId="1"/>
    <tableColumn id="20" xr3:uid="{4032395B-4903-4967-BEC7-C93AF4204FC7}" name="Tiempo Medio Años" dataDxfId="0">
      <calculatedColumnFormula>IF(L2="Activo",(DATE(2024,1,1)-I2)/365,(J2-I2)/365)</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2013 - Tema de 2022">
  <a:themeElements>
    <a:clrScheme name="Violeta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A30F-5FDE-4393-8F40-C0FFFE688FD2}">
  <dimension ref="A1:T311"/>
  <sheetViews>
    <sheetView topLeftCell="F1" zoomScale="85" zoomScaleNormal="85" workbookViewId="0">
      <pane ySplit="1" topLeftCell="A2" activePane="bottomLeft" state="frozen"/>
      <selection pane="bottomLeft" activeCell="W1" sqref="W1"/>
    </sheetView>
  </sheetViews>
  <sheetFormatPr baseColWidth="10" defaultColWidth="8.88671875" defaultRowHeight="14.4" x14ac:dyDescent="0.3"/>
  <cols>
    <col min="1" max="1" width="23.5546875" bestFit="1" customWidth="1"/>
    <col min="2" max="2" width="9" customWidth="1"/>
    <col min="3" max="3" width="27.21875" customWidth="1"/>
    <col min="4" max="4" width="26.44140625" bestFit="1" customWidth="1"/>
    <col min="5" max="5" width="33.6640625" customWidth="1"/>
    <col min="6" max="6" width="21.5546875" customWidth="1"/>
    <col min="8" max="8" width="13.109375" customWidth="1"/>
    <col min="9" max="9" width="22.88671875" customWidth="1"/>
    <col min="10" max="10" width="16.5546875" customWidth="1"/>
    <col min="11" max="11" width="16.44140625" customWidth="1"/>
    <col min="12" max="12" width="20.21875" customWidth="1"/>
    <col min="13" max="13" width="16" customWidth="1"/>
    <col min="14" max="14" width="22.6640625" customWidth="1"/>
    <col min="15" max="15" width="25.109375" customWidth="1"/>
    <col min="16" max="16" width="25.21875" customWidth="1"/>
    <col min="17" max="17" width="22.109375" customWidth="1"/>
    <col min="18" max="18" width="22.109375" bestFit="1" customWidth="1"/>
    <col min="19" max="19" width="35" bestFit="1" customWidth="1"/>
    <col min="20" max="20" width="25.88671875" customWidth="1"/>
  </cols>
  <sheetData>
    <row r="1" spans="1:20" s="46" customFormat="1" ht="18" x14ac:dyDescent="0.35">
      <c r="A1" s="44" t="s">
        <v>368</v>
      </c>
      <c r="B1" s="44" t="s">
        <v>2</v>
      </c>
      <c r="C1" s="44" t="s">
        <v>710</v>
      </c>
      <c r="D1" s="44" t="s">
        <v>369</v>
      </c>
      <c r="E1" s="44" t="s">
        <v>5</v>
      </c>
      <c r="F1" s="44" t="s">
        <v>334</v>
      </c>
      <c r="G1" s="44" t="s">
        <v>4</v>
      </c>
      <c r="H1" s="44" t="s">
        <v>3</v>
      </c>
      <c r="I1" s="44" t="s">
        <v>709</v>
      </c>
      <c r="J1" s="44" t="s">
        <v>335</v>
      </c>
      <c r="K1" s="44" t="s">
        <v>336</v>
      </c>
      <c r="L1" s="44" t="s">
        <v>337</v>
      </c>
      <c r="M1" s="44" t="s">
        <v>6</v>
      </c>
      <c r="N1" s="44" t="s">
        <v>338</v>
      </c>
      <c r="O1" s="44" t="s">
        <v>363</v>
      </c>
      <c r="P1" s="44" t="s">
        <v>367</v>
      </c>
      <c r="Q1" s="44" t="s">
        <v>708</v>
      </c>
      <c r="R1" s="44" t="s">
        <v>0</v>
      </c>
      <c r="S1" s="44" t="s">
        <v>370</v>
      </c>
      <c r="T1" s="45" t="s">
        <v>695</v>
      </c>
    </row>
    <row r="2" spans="1:20" x14ac:dyDescent="0.3">
      <c r="A2" s="1" t="s">
        <v>692</v>
      </c>
      <c r="B2" s="1" t="s">
        <v>12</v>
      </c>
      <c r="C2" s="1" t="s">
        <v>13</v>
      </c>
      <c r="D2" s="2">
        <v>5060</v>
      </c>
      <c r="E2" s="1" t="s">
        <v>704</v>
      </c>
      <c r="F2" s="3">
        <v>30092</v>
      </c>
      <c r="G2" s="1" t="s">
        <v>1</v>
      </c>
      <c r="H2" s="1" t="s">
        <v>349</v>
      </c>
      <c r="I2" s="3">
        <v>43709</v>
      </c>
      <c r="J2" s="3"/>
      <c r="K2" s="1" t="s">
        <v>361</v>
      </c>
      <c r="L2" s="1" t="s">
        <v>356</v>
      </c>
      <c r="M2" s="1" t="s">
        <v>700</v>
      </c>
      <c r="N2" s="1" t="s">
        <v>351</v>
      </c>
      <c r="O2" s="1" t="s">
        <v>366</v>
      </c>
      <c r="P2" s="1">
        <v>5</v>
      </c>
      <c r="Q2" s="1">
        <v>5</v>
      </c>
      <c r="R2" s="1">
        <v>0</v>
      </c>
      <c r="S2" s="3">
        <v>44166</v>
      </c>
      <c r="T2" s="7">
        <f>IF(L2="Activo",(DATE(2024,1,1)-I2)/365,(J2-I2)/365)</f>
        <v>4.3369863013698629</v>
      </c>
    </row>
    <row r="3" spans="1:20" x14ac:dyDescent="0.3">
      <c r="A3" t="s">
        <v>398</v>
      </c>
      <c r="B3" s="1" t="s">
        <v>15</v>
      </c>
      <c r="C3" s="1" t="s">
        <v>16</v>
      </c>
      <c r="D3" s="2">
        <v>3520</v>
      </c>
      <c r="E3" s="1" t="s">
        <v>704</v>
      </c>
      <c r="F3" s="3">
        <v>27749</v>
      </c>
      <c r="G3" s="1" t="s">
        <v>17</v>
      </c>
      <c r="H3" s="1" t="s">
        <v>349</v>
      </c>
      <c r="I3" s="3">
        <v>43499</v>
      </c>
      <c r="J3" s="3"/>
      <c r="K3" s="1" t="s">
        <v>361</v>
      </c>
      <c r="L3" s="1" t="s">
        <v>356</v>
      </c>
      <c r="M3" s="1" t="s">
        <v>700</v>
      </c>
      <c r="N3" s="1" t="s">
        <v>701</v>
      </c>
      <c r="O3" s="1" t="s">
        <v>364</v>
      </c>
      <c r="P3" s="1">
        <v>5</v>
      </c>
      <c r="Q3" s="1">
        <v>3</v>
      </c>
      <c r="R3" s="1">
        <v>0</v>
      </c>
      <c r="S3" s="3">
        <v>44166</v>
      </c>
      <c r="T3" s="7">
        <f t="shared" ref="T3:T66" si="0">IF(L3="Activo",(DATE(2024,1,1)-I3)/365,(J3-I3)/365)</f>
        <v>4.912328767123288</v>
      </c>
    </row>
    <row r="4" spans="1:20" x14ac:dyDescent="0.3">
      <c r="A4" s="1" t="s">
        <v>399</v>
      </c>
      <c r="B4" s="1" t="s">
        <v>18</v>
      </c>
      <c r="C4" s="1" t="s">
        <v>19</v>
      </c>
      <c r="D4" s="2">
        <v>4400</v>
      </c>
      <c r="E4" s="1" t="s">
        <v>704</v>
      </c>
      <c r="F4" s="3">
        <v>26406</v>
      </c>
      <c r="G4" s="1" t="s">
        <v>17</v>
      </c>
      <c r="H4" s="1" t="s">
        <v>7</v>
      </c>
      <c r="I4" s="3">
        <v>44383</v>
      </c>
      <c r="J4" s="3"/>
      <c r="K4" s="1" t="s">
        <v>361</v>
      </c>
      <c r="L4" s="1" t="s">
        <v>356</v>
      </c>
      <c r="M4" s="1" t="s">
        <v>700</v>
      </c>
      <c r="N4" s="1" t="s">
        <v>353</v>
      </c>
      <c r="O4" s="1" t="s">
        <v>365</v>
      </c>
      <c r="P4" s="1">
        <v>1.1200000000000001</v>
      </c>
      <c r="Q4" s="1">
        <v>2</v>
      </c>
      <c r="R4" s="1">
        <v>0</v>
      </c>
      <c r="S4" s="3">
        <v>44166</v>
      </c>
      <c r="T4" s="7">
        <f t="shared" si="0"/>
        <v>2.4904109589041097</v>
      </c>
    </row>
    <row r="5" spans="1:20" x14ac:dyDescent="0.3">
      <c r="A5" s="1" t="s">
        <v>400</v>
      </c>
      <c r="B5" s="1" t="s">
        <v>20</v>
      </c>
      <c r="C5" s="1" t="s">
        <v>19</v>
      </c>
      <c r="D5" s="2">
        <v>3960</v>
      </c>
      <c r="E5" s="1" t="s">
        <v>704</v>
      </c>
      <c r="F5" s="3">
        <v>34624</v>
      </c>
      <c r="G5" s="1" t="s">
        <v>17</v>
      </c>
      <c r="H5" s="1" t="s">
        <v>7</v>
      </c>
      <c r="I5" s="3">
        <v>44869</v>
      </c>
      <c r="J5" s="3"/>
      <c r="K5" s="1" t="s">
        <v>361</v>
      </c>
      <c r="L5" s="1" t="s">
        <v>356</v>
      </c>
      <c r="M5" s="1" t="s">
        <v>700</v>
      </c>
      <c r="N5" s="1" t="s">
        <v>353</v>
      </c>
      <c r="O5" s="1" t="s">
        <v>365</v>
      </c>
      <c r="P5" s="1">
        <v>1.56</v>
      </c>
      <c r="Q5" s="1">
        <v>4</v>
      </c>
      <c r="R5" s="1">
        <v>0</v>
      </c>
      <c r="S5" s="3">
        <v>44166</v>
      </c>
      <c r="T5" s="7">
        <f t="shared" si="0"/>
        <v>1.1589041095890411</v>
      </c>
    </row>
    <row r="6" spans="1:20" x14ac:dyDescent="0.3">
      <c r="A6" s="1" t="s">
        <v>401</v>
      </c>
      <c r="B6" s="1" t="s">
        <v>21</v>
      </c>
      <c r="C6" s="1" t="s">
        <v>13</v>
      </c>
      <c r="D6" s="2">
        <v>3520</v>
      </c>
      <c r="E6" s="1" t="s">
        <v>704</v>
      </c>
      <c r="F6" s="3">
        <v>31263</v>
      </c>
      <c r="G6" s="1" t="s">
        <v>1</v>
      </c>
      <c r="H6" s="1" t="s">
        <v>349</v>
      </c>
      <c r="I6" s="3">
        <v>44467</v>
      </c>
      <c r="J6" s="3"/>
      <c r="K6" s="1" t="s">
        <v>361</v>
      </c>
      <c r="L6" s="1" t="s">
        <v>356</v>
      </c>
      <c r="M6" s="1" t="s">
        <v>700</v>
      </c>
      <c r="N6" s="1" t="s">
        <v>352</v>
      </c>
      <c r="O6" s="1" t="s">
        <v>366</v>
      </c>
      <c r="P6" s="1">
        <v>3.39</v>
      </c>
      <c r="Q6" s="1">
        <v>4</v>
      </c>
      <c r="R6" s="1">
        <v>0</v>
      </c>
      <c r="S6" s="3">
        <v>44166</v>
      </c>
      <c r="T6" s="7">
        <f t="shared" si="0"/>
        <v>2.2602739726027399</v>
      </c>
    </row>
    <row r="7" spans="1:20" x14ac:dyDescent="0.3">
      <c r="A7" s="1" t="s">
        <v>402</v>
      </c>
      <c r="B7" s="1" t="s">
        <v>22</v>
      </c>
      <c r="C7" s="1" t="s">
        <v>13</v>
      </c>
      <c r="D7" s="2">
        <v>4400</v>
      </c>
      <c r="E7" s="1" t="s">
        <v>704</v>
      </c>
      <c r="F7" s="3">
        <v>28890</v>
      </c>
      <c r="G7" s="1" t="s">
        <v>1</v>
      </c>
      <c r="H7" s="1" t="s">
        <v>7</v>
      </c>
      <c r="I7" s="3">
        <v>44534</v>
      </c>
      <c r="J7" s="3"/>
      <c r="K7" s="1" t="s">
        <v>361</v>
      </c>
      <c r="L7" s="1" t="s">
        <v>356</v>
      </c>
      <c r="M7" s="1" t="s">
        <v>700</v>
      </c>
      <c r="N7" s="1" t="s">
        <v>353</v>
      </c>
      <c r="O7" s="1" t="s">
        <v>366</v>
      </c>
      <c r="P7" s="1">
        <v>4.76</v>
      </c>
      <c r="Q7" s="1">
        <v>4</v>
      </c>
      <c r="R7" s="1">
        <v>0</v>
      </c>
      <c r="S7" s="3">
        <v>44166</v>
      </c>
      <c r="T7" s="7">
        <f t="shared" si="0"/>
        <v>2.0767123287671234</v>
      </c>
    </row>
    <row r="8" spans="1:20" x14ac:dyDescent="0.3">
      <c r="A8" s="1" t="s">
        <v>403</v>
      </c>
      <c r="B8" s="1" t="s">
        <v>23</v>
      </c>
      <c r="C8" s="1" t="s">
        <v>16</v>
      </c>
      <c r="D8" s="2">
        <v>3300</v>
      </c>
      <c r="E8" s="1" t="s">
        <v>704</v>
      </c>
      <c r="F8" s="3">
        <v>33108</v>
      </c>
      <c r="G8" s="1" t="s">
        <v>1</v>
      </c>
      <c r="H8" s="1" t="s">
        <v>7</v>
      </c>
      <c r="I8" s="3">
        <v>44061</v>
      </c>
      <c r="J8" s="3"/>
      <c r="K8" s="1" t="s">
        <v>361</v>
      </c>
      <c r="L8" s="1" t="s">
        <v>356</v>
      </c>
      <c r="M8" s="1" t="s">
        <v>700</v>
      </c>
      <c r="N8" s="1" t="s">
        <v>353</v>
      </c>
      <c r="O8" s="1" t="s">
        <v>364</v>
      </c>
      <c r="P8" s="1">
        <v>4.8099999999999996</v>
      </c>
      <c r="Q8" s="1">
        <v>4</v>
      </c>
      <c r="R8" s="1">
        <v>0</v>
      </c>
      <c r="S8" s="3">
        <v>44166</v>
      </c>
      <c r="T8" s="7">
        <f t="shared" si="0"/>
        <v>3.3726027397260272</v>
      </c>
    </row>
    <row r="9" spans="1:20" x14ac:dyDescent="0.3">
      <c r="A9" s="1" t="s">
        <v>404</v>
      </c>
      <c r="B9" s="1" t="s">
        <v>24</v>
      </c>
      <c r="C9" s="1" t="s">
        <v>13</v>
      </c>
      <c r="D9" s="2">
        <v>3520</v>
      </c>
      <c r="E9" s="1" t="s">
        <v>704</v>
      </c>
      <c r="F9" s="3">
        <v>34342</v>
      </c>
      <c r="G9" s="1" t="s">
        <v>1</v>
      </c>
      <c r="H9" s="1" t="s">
        <v>7</v>
      </c>
      <c r="I9" s="3">
        <v>44383</v>
      </c>
      <c r="J9" s="3"/>
      <c r="K9" s="1" t="s">
        <v>361</v>
      </c>
      <c r="L9" s="1" t="s">
        <v>356</v>
      </c>
      <c r="M9" s="1" t="s">
        <v>700</v>
      </c>
      <c r="N9" s="1" t="s">
        <v>352</v>
      </c>
      <c r="O9" s="1" t="s">
        <v>366</v>
      </c>
      <c r="P9" s="1">
        <v>5</v>
      </c>
      <c r="Q9" s="1">
        <v>3.1</v>
      </c>
      <c r="R9" s="1">
        <v>0</v>
      </c>
      <c r="S9" s="3">
        <v>44166</v>
      </c>
      <c r="T9" s="7">
        <f t="shared" si="0"/>
        <v>2.4904109589041097</v>
      </c>
    </row>
    <row r="10" spans="1:20" x14ac:dyDescent="0.3">
      <c r="A10" s="1" t="s">
        <v>405</v>
      </c>
      <c r="B10" s="1" t="s">
        <v>25</v>
      </c>
      <c r="C10" s="1" t="s">
        <v>13</v>
      </c>
      <c r="D10" s="2">
        <v>5445</v>
      </c>
      <c r="E10" s="1" t="s">
        <v>704</v>
      </c>
      <c r="F10" s="3">
        <v>31284</v>
      </c>
      <c r="G10" s="1" t="s">
        <v>17</v>
      </c>
      <c r="H10" s="1" t="s">
        <v>7</v>
      </c>
      <c r="I10" s="3">
        <v>45084</v>
      </c>
      <c r="J10" s="3"/>
      <c r="K10" s="1" t="s">
        <v>361</v>
      </c>
      <c r="L10" s="1" t="s">
        <v>356</v>
      </c>
      <c r="M10" s="1" t="s">
        <v>700</v>
      </c>
      <c r="N10" s="1" t="s">
        <v>701</v>
      </c>
      <c r="O10" s="1" t="s">
        <v>366</v>
      </c>
      <c r="P10" s="1">
        <v>1.97</v>
      </c>
      <c r="Q10" s="1">
        <v>4</v>
      </c>
      <c r="R10" s="1">
        <v>0</v>
      </c>
      <c r="S10" s="3">
        <v>44166</v>
      </c>
      <c r="T10" s="7">
        <f t="shared" si="0"/>
        <v>0.56986301369863013</v>
      </c>
    </row>
    <row r="11" spans="1:20" x14ac:dyDescent="0.3">
      <c r="A11" s="1" t="s">
        <v>406</v>
      </c>
      <c r="B11" s="1" t="s">
        <v>26</v>
      </c>
      <c r="C11" s="1" t="s">
        <v>27</v>
      </c>
      <c r="D11" s="2">
        <v>4840</v>
      </c>
      <c r="E11" s="1" t="s">
        <v>704</v>
      </c>
      <c r="F11" s="3">
        <v>30358</v>
      </c>
      <c r="G11" s="1" t="s">
        <v>1</v>
      </c>
      <c r="H11" s="1" t="s">
        <v>7</v>
      </c>
      <c r="I11" s="3">
        <v>44012</v>
      </c>
      <c r="J11" s="3"/>
      <c r="K11" s="1" t="s">
        <v>361</v>
      </c>
      <c r="L11" s="1" t="s">
        <v>356</v>
      </c>
      <c r="M11" s="1" t="s">
        <v>700</v>
      </c>
      <c r="N11" s="1" t="s">
        <v>353</v>
      </c>
      <c r="O11" s="1" t="s">
        <v>365</v>
      </c>
      <c r="P11" s="1">
        <v>3.88</v>
      </c>
      <c r="Q11" s="1">
        <v>3</v>
      </c>
      <c r="R11" s="1">
        <v>0</v>
      </c>
      <c r="S11" s="3">
        <v>44166</v>
      </c>
      <c r="T11" s="7">
        <f t="shared" si="0"/>
        <v>3.506849315068493</v>
      </c>
    </row>
    <row r="12" spans="1:20" x14ac:dyDescent="0.3">
      <c r="A12" s="1" t="s">
        <v>407</v>
      </c>
      <c r="B12" s="1" t="s">
        <v>28</v>
      </c>
      <c r="C12" s="1" t="s">
        <v>16</v>
      </c>
      <c r="D12" s="2">
        <v>5280</v>
      </c>
      <c r="E12" s="1" t="s">
        <v>704</v>
      </c>
      <c r="F12" s="3">
        <v>31486</v>
      </c>
      <c r="G12" s="1" t="s">
        <v>1</v>
      </c>
      <c r="H12" s="1" t="s">
        <v>7</v>
      </c>
      <c r="I12" s="3">
        <v>43709</v>
      </c>
      <c r="J12" s="3"/>
      <c r="K12" s="1" t="s">
        <v>361</v>
      </c>
      <c r="L12" s="1" t="s">
        <v>356</v>
      </c>
      <c r="M12" s="1" t="s">
        <v>700</v>
      </c>
      <c r="N12" s="1" t="s">
        <v>351</v>
      </c>
      <c r="O12" s="1" t="s">
        <v>364</v>
      </c>
      <c r="P12" s="1">
        <v>5</v>
      </c>
      <c r="Q12" s="1">
        <v>5</v>
      </c>
      <c r="R12" s="1">
        <v>0</v>
      </c>
      <c r="S12" s="3">
        <v>44166</v>
      </c>
      <c r="T12" s="7">
        <f t="shared" si="0"/>
        <v>4.3369863013698629</v>
      </c>
    </row>
    <row r="13" spans="1:20" x14ac:dyDescent="0.3">
      <c r="A13" s="1" t="s">
        <v>408</v>
      </c>
      <c r="B13" s="1" t="s">
        <v>29</v>
      </c>
      <c r="C13" s="1" t="s">
        <v>16</v>
      </c>
      <c r="D13" s="2">
        <v>3520</v>
      </c>
      <c r="E13" s="1" t="s">
        <v>704</v>
      </c>
      <c r="F13" s="3">
        <v>35091</v>
      </c>
      <c r="G13" s="1" t="s">
        <v>1</v>
      </c>
      <c r="H13" s="1" t="s">
        <v>349</v>
      </c>
      <c r="I13" s="3">
        <v>44061</v>
      </c>
      <c r="J13" s="3"/>
      <c r="K13" s="1" t="s">
        <v>361</v>
      </c>
      <c r="L13" s="1" t="s">
        <v>356</v>
      </c>
      <c r="M13" s="1" t="s">
        <v>700</v>
      </c>
      <c r="N13" s="1" t="s">
        <v>352</v>
      </c>
      <c r="O13" s="1" t="s">
        <v>364</v>
      </c>
      <c r="P13" s="1">
        <v>3.99</v>
      </c>
      <c r="Q13" s="1">
        <v>3</v>
      </c>
      <c r="R13" s="1">
        <v>0</v>
      </c>
      <c r="S13" s="3">
        <v>44166</v>
      </c>
      <c r="T13" s="7">
        <f t="shared" si="0"/>
        <v>3.3726027397260272</v>
      </c>
    </row>
    <row r="14" spans="1:20" x14ac:dyDescent="0.3">
      <c r="A14" s="1" t="s">
        <v>409</v>
      </c>
      <c r="B14" s="1" t="s">
        <v>30</v>
      </c>
      <c r="C14" s="1" t="s">
        <v>16</v>
      </c>
      <c r="D14" s="2">
        <v>4620</v>
      </c>
      <c r="E14" s="1" t="s">
        <v>704</v>
      </c>
      <c r="F14" s="3">
        <v>31078</v>
      </c>
      <c r="G14" s="1" t="s">
        <v>17</v>
      </c>
      <c r="H14" s="1" t="s">
        <v>7</v>
      </c>
      <c r="I14" s="3">
        <v>43373</v>
      </c>
      <c r="J14" s="3"/>
      <c r="K14" s="1" t="s">
        <v>361</v>
      </c>
      <c r="L14" s="1" t="s">
        <v>356</v>
      </c>
      <c r="M14" s="1" t="s">
        <v>700</v>
      </c>
      <c r="N14" s="1" t="s">
        <v>353</v>
      </c>
      <c r="O14" s="1" t="s">
        <v>364</v>
      </c>
      <c r="P14" s="1">
        <v>3.38</v>
      </c>
      <c r="Q14" s="1">
        <v>3</v>
      </c>
      <c r="R14" s="1">
        <v>0</v>
      </c>
      <c r="S14" s="3">
        <v>44166</v>
      </c>
      <c r="T14" s="7">
        <f t="shared" si="0"/>
        <v>5.2575342465753421</v>
      </c>
    </row>
    <row r="15" spans="1:20" x14ac:dyDescent="0.3">
      <c r="A15" s="1" t="s">
        <v>410</v>
      </c>
      <c r="B15" s="1" t="s">
        <v>31</v>
      </c>
      <c r="C15" s="1" t="s">
        <v>16</v>
      </c>
      <c r="D15" s="2">
        <v>5060</v>
      </c>
      <c r="E15" s="1" t="s">
        <v>704</v>
      </c>
      <c r="F15" s="3">
        <v>29046</v>
      </c>
      <c r="G15" s="1" t="s">
        <v>1</v>
      </c>
      <c r="H15" s="1" t="s">
        <v>7</v>
      </c>
      <c r="I15" s="3">
        <v>44145</v>
      </c>
      <c r="J15" s="3"/>
      <c r="K15" s="1" t="s">
        <v>361</v>
      </c>
      <c r="L15" s="1" t="s">
        <v>356</v>
      </c>
      <c r="M15" s="1" t="s">
        <v>700</v>
      </c>
      <c r="N15" s="1" t="s">
        <v>352</v>
      </c>
      <c r="O15" s="1" t="s">
        <v>364</v>
      </c>
      <c r="P15" s="1">
        <v>1.04</v>
      </c>
      <c r="Q15" s="1">
        <v>3</v>
      </c>
      <c r="R15" s="1">
        <v>0</v>
      </c>
      <c r="S15" s="3">
        <v>44166</v>
      </c>
      <c r="T15" s="7">
        <f t="shared" si="0"/>
        <v>3.1424657534246574</v>
      </c>
    </row>
    <row r="16" spans="1:20" x14ac:dyDescent="0.3">
      <c r="A16" s="1" t="s">
        <v>411</v>
      </c>
      <c r="B16" s="1" t="s">
        <v>32</v>
      </c>
      <c r="C16" s="1" t="s">
        <v>13</v>
      </c>
      <c r="D16" s="2">
        <v>3740</v>
      </c>
      <c r="E16" s="1" t="s">
        <v>704</v>
      </c>
      <c r="F16" s="3">
        <v>32900</v>
      </c>
      <c r="G16" s="1" t="s">
        <v>17</v>
      </c>
      <c r="H16" s="1" t="s">
        <v>349</v>
      </c>
      <c r="I16" s="3">
        <v>44049</v>
      </c>
      <c r="J16" s="3"/>
      <c r="K16" s="1" t="s">
        <v>361</v>
      </c>
      <c r="L16" s="1" t="s">
        <v>356</v>
      </c>
      <c r="M16" s="1" t="s">
        <v>700</v>
      </c>
      <c r="N16" s="1" t="s">
        <v>701</v>
      </c>
      <c r="O16" s="1" t="s">
        <v>366</v>
      </c>
      <c r="P16" s="1">
        <v>3.02</v>
      </c>
      <c r="Q16" s="1">
        <v>5</v>
      </c>
      <c r="R16" s="1">
        <v>0</v>
      </c>
      <c r="S16" s="3">
        <v>44166</v>
      </c>
      <c r="T16" s="7">
        <f t="shared" si="0"/>
        <v>3.4054794520547946</v>
      </c>
    </row>
    <row r="17" spans="1:20" x14ac:dyDescent="0.3">
      <c r="A17" s="1" t="s">
        <v>412</v>
      </c>
      <c r="B17" s="1" t="s">
        <v>33</v>
      </c>
      <c r="C17" s="1" t="s">
        <v>19</v>
      </c>
      <c r="D17" s="2">
        <v>3520</v>
      </c>
      <c r="E17" s="1" t="s">
        <v>704</v>
      </c>
      <c r="F17" s="3">
        <v>26864</v>
      </c>
      <c r="G17" s="1" t="s">
        <v>1</v>
      </c>
      <c r="H17" s="1" t="s">
        <v>7</v>
      </c>
      <c r="I17" s="3">
        <v>43515</v>
      </c>
      <c r="J17" s="3"/>
      <c r="K17" s="1" t="s">
        <v>361</v>
      </c>
      <c r="L17" s="1" t="s">
        <v>356</v>
      </c>
      <c r="M17" s="1" t="s">
        <v>700</v>
      </c>
      <c r="N17" s="1" t="s">
        <v>353</v>
      </c>
      <c r="O17" s="1" t="s">
        <v>365</v>
      </c>
      <c r="P17" s="1">
        <v>4.1100000000000003</v>
      </c>
      <c r="Q17" s="1">
        <v>2</v>
      </c>
      <c r="R17" s="1">
        <v>0</v>
      </c>
      <c r="S17" s="3">
        <v>44166</v>
      </c>
      <c r="T17" s="7">
        <f t="shared" si="0"/>
        <v>4.8684931506849312</v>
      </c>
    </row>
    <row r="18" spans="1:20" x14ac:dyDescent="0.3">
      <c r="A18" s="1" t="s">
        <v>413</v>
      </c>
      <c r="B18" s="1" t="s">
        <v>34</v>
      </c>
      <c r="C18" s="1" t="s">
        <v>16</v>
      </c>
      <c r="D18" s="2">
        <v>5280</v>
      </c>
      <c r="E18" s="1" t="s">
        <v>704</v>
      </c>
      <c r="F18" s="3">
        <v>26423</v>
      </c>
      <c r="G18" s="1" t="s">
        <v>1</v>
      </c>
      <c r="H18" s="1" t="s">
        <v>349</v>
      </c>
      <c r="I18" s="3">
        <v>43879</v>
      </c>
      <c r="J18" s="3"/>
      <c r="K18" s="1" t="s">
        <v>361</v>
      </c>
      <c r="L18" s="1" t="s">
        <v>356</v>
      </c>
      <c r="M18" s="1" t="s">
        <v>700</v>
      </c>
      <c r="N18" s="1" t="s">
        <v>351</v>
      </c>
      <c r="O18" s="1" t="s">
        <v>364</v>
      </c>
      <c r="P18" s="1">
        <v>4.21</v>
      </c>
      <c r="Q18" s="1">
        <v>5</v>
      </c>
      <c r="R18" s="1">
        <v>0</v>
      </c>
      <c r="S18" s="3">
        <v>44166</v>
      </c>
      <c r="T18" s="7">
        <f t="shared" si="0"/>
        <v>3.871232876712329</v>
      </c>
    </row>
    <row r="19" spans="1:20" x14ac:dyDescent="0.3">
      <c r="A19" s="1" t="s">
        <v>414</v>
      </c>
      <c r="B19" s="1" t="s">
        <v>35</v>
      </c>
      <c r="C19" s="1" t="s">
        <v>16</v>
      </c>
      <c r="D19" s="2">
        <v>3300</v>
      </c>
      <c r="E19" s="1" t="s">
        <v>704</v>
      </c>
      <c r="F19" s="3">
        <v>30171</v>
      </c>
      <c r="G19" s="1" t="s">
        <v>17</v>
      </c>
      <c r="H19" s="1" t="s">
        <v>349</v>
      </c>
      <c r="I19" s="3">
        <v>44049</v>
      </c>
      <c r="J19" s="3"/>
      <c r="K19" s="1" t="s">
        <v>361</v>
      </c>
      <c r="L19" s="1" t="s">
        <v>356</v>
      </c>
      <c r="M19" s="1" t="s">
        <v>700</v>
      </c>
      <c r="N19" s="1" t="s">
        <v>701</v>
      </c>
      <c r="O19" s="1" t="s">
        <v>364</v>
      </c>
      <c r="P19" s="1">
        <v>1.51</v>
      </c>
      <c r="Q19" s="1">
        <v>5</v>
      </c>
      <c r="R19" s="1">
        <v>0</v>
      </c>
      <c r="S19" s="3">
        <v>44166</v>
      </c>
      <c r="T19" s="7">
        <f t="shared" si="0"/>
        <v>3.4054794520547946</v>
      </c>
    </row>
    <row r="20" spans="1:20" x14ac:dyDescent="0.3">
      <c r="A20" s="1" t="s">
        <v>415</v>
      </c>
      <c r="B20" s="1" t="s">
        <v>36</v>
      </c>
      <c r="C20" s="1" t="s">
        <v>16</v>
      </c>
      <c r="D20" s="2">
        <v>3685</v>
      </c>
      <c r="E20" s="1" t="s">
        <v>704</v>
      </c>
      <c r="F20" s="3">
        <v>33428</v>
      </c>
      <c r="G20" s="1" t="s">
        <v>1</v>
      </c>
      <c r="H20" s="1" t="s">
        <v>349</v>
      </c>
      <c r="I20" s="3">
        <v>43499</v>
      </c>
      <c r="J20" s="3"/>
      <c r="K20" s="1" t="s">
        <v>361</v>
      </c>
      <c r="L20" s="1" t="s">
        <v>356</v>
      </c>
      <c r="M20" s="1" t="s">
        <v>700</v>
      </c>
      <c r="N20" s="1" t="s">
        <v>353</v>
      </c>
      <c r="O20" s="1" t="s">
        <v>364</v>
      </c>
      <c r="P20" s="1">
        <v>2.79</v>
      </c>
      <c r="Q20" s="1">
        <v>5</v>
      </c>
      <c r="R20" s="1">
        <v>0</v>
      </c>
      <c r="S20" s="3">
        <v>44166</v>
      </c>
      <c r="T20" s="7">
        <f t="shared" si="0"/>
        <v>4.912328767123288</v>
      </c>
    </row>
    <row r="21" spans="1:20" x14ac:dyDescent="0.3">
      <c r="A21" s="1" t="s">
        <v>416</v>
      </c>
      <c r="B21" s="1" t="s">
        <v>37</v>
      </c>
      <c r="C21" s="1" t="s">
        <v>16</v>
      </c>
      <c r="D21" s="2">
        <v>4180</v>
      </c>
      <c r="E21" s="1" t="s">
        <v>704</v>
      </c>
      <c r="F21" s="3">
        <v>33130</v>
      </c>
      <c r="G21" s="1" t="s">
        <v>17</v>
      </c>
      <c r="H21" s="1" t="s">
        <v>349</v>
      </c>
      <c r="I21" s="3">
        <v>44649</v>
      </c>
      <c r="J21" s="3"/>
      <c r="K21" s="1" t="s">
        <v>361</v>
      </c>
      <c r="L21" s="1" t="s">
        <v>356</v>
      </c>
      <c r="M21" s="1" t="s">
        <v>700</v>
      </c>
      <c r="N21" s="1" t="s">
        <v>701</v>
      </c>
      <c r="O21" s="1" t="s">
        <v>364</v>
      </c>
      <c r="P21" s="1">
        <v>4.5</v>
      </c>
      <c r="Q21" s="1">
        <v>3</v>
      </c>
      <c r="R21" s="1">
        <v>0</v>
      </c>
      <c r="S21" s="3">
        <v>44166</v>
      </c>
      <c r="T21" s="7">
        <f t="shared" si="0"/>
        <v>1.7616438356164383</v>
      </c>
    </row>
    <row r="22" spans="1:20" x14ac:dyDescent="0.3">
      <c r="A22" s="1" t="s">
        <v>417</v>
      </c>
      <c r="B22" s="1" t="s">
        <v>38</v>
      </c>
      <c r="C22" s="1" t="s">
        <v>16</v>
      </c>
      <c r="D22" s="2">
        <v>3300</v>
      </c>
      <c r="E22" s="1" t="s">
        <v>704</v>
      </c>
      <c r="F22" s="3">
        <v>30821</v>
      </c>
      <c r="G22" s="1" t="s">
        <v>17</v>
      </c>
      <c r="H22" s="1" t="s">
        <v>7</v>
      </c>
      <c r="I22" s="3">
        <v>43502</v>
      </c>
      <c r="J22" s="3"/>
      <c r="K22" s="1" t="s">
        <v>361</v>
      </c>
      <c r="L22" s="1" t="s">
        <v>356</v>
      </c>
      <c r="M22" s="1" t="s">
        <v>700</v>
      </c>
      <c r="N22" s="1" t="s">
        <v>351</v>
      </c>
      <c r="O22" s="1" t="s">
        <v>364</v>
      </c>
      <c r="P22" s="1">
        <v>5</v>
      </c>
      <c r="Q22" s="1">
        <v>3</v>
      </c>
      <c r="R22" s="1">
        <v>0</v>
      </c>
      <c r="S22" s="3">
        <v>44166</v>
      </c>
      <c r="T22" s="7">
        <f t="shared" si="0"/>
        <v>4.904109589041096</v>
      </c>
    </row>
    <row r="23" spans="1:20" x14ac:dyDescent="0.3">
      <c r="A23" s="1" t="s">
        <v>418</v>
      </c>
      <c r="B23" s="1">
        <v>1201431438</v>
      </c>
      <c r="C23" s="1" t="s">
        <v>16</v>
      </c>
      <c r="D23" s="2">
        <v>4400</v>
      </c>
      <c r="E23" s="1" t="s">
        <v>704</v>
      </c>
      <c r="F23" s="3">
        <v>28437</v>
      </c>
      <c r="G23" s="1" t="s">
        <v>1</v>
      </c>
      <c r="H23" s="1" t="s">
        <v>349</v>
      </c>
      <c r="I23" s="3">
        <v>43596</v>
      </c>
      <c r="J23" s="3"/>
      <c r="K23" s="1" t="s">
        <v>361</v>
      </c>
      <c r="L23" s="1" t="s">
        <v>356</v>
      </c>
      <c r="M23" s="1" t="s">
        <v>700</v>
      </c>
      <c r="N23" s="1" t="s">
        <v>353</v>
      </c>
      <c r="O23" s="1" t="s">
        <v>364</v>
      </c>
      <c r="P23" s="1">
        <v>2.3199999999999998</v>
      </c>
      <c r="Q23" s="1">
        <v>3</v>
      </c>
      <c r="R23" s="1">
        <v>0</v>
      </c>
      <c r="S23" s="3">
        <v>44166</v>
      </c>
      <c r="T23" s="7">
        <f t="shared" si="0"/>
        <v>4.646575342465753</v>
      </c>
    </row>
    <row r="24" spans="1:20" x14ac:dyDescent="0.3">
      <c r="A24" s="1" t="s">
        <v>419</v>
      </c>
      <c r="B24" s="1" t="s">
        <v>39</v>
      </c>
      <c r="C24" s="1" t="s">
        <v>16</v>
      </c>
      <c r="D24" s="2">
        <v>3740</v>
      </c>
      <c r="E24" s="1" t="s">
        <v>704</v>
      </c>
      <c r="F24" s="3">
        <v>33492</v>
      </c>
      <c r="G24" s="1" t="s">
        <v>17</v>
      </c>
      <c r="H24" s="1" t="s">
        <v>7</v>
      </c>
      <c r="I24" s="3">
        <v>43715</v>
      </c>
      <c r="J24" s="3"/>
      <c r="K24" s="1" t="s">
        <v>361</v>
      </c>
      <c r="L24" s="1" t="s">
        <v>356</v>
      </c>
      <c r="M24" s="1" t="s">
        <v>700</v>
      </c>
      <c r="N24" s="1" t="s">
        <v>353</v>
      </c>
      <c r="O24" s="1" t="s">
        <v>364</v>
      </c>
      <c r="P24" s="1">
        <v>5</v>
      </c>
      <c r="Q24" s="1">
        <v>5</v>
      </c>
      <c r="R24" s="1">
        <v>0</v>
      </c>
      <c r="S24" s="3">
        <v>44166</v>
      </c>
      <c r="T24" s="7">
        <f t="shared" si="0"/>
        <v>4.3205479452054796</v>
      </c>
    </row>
    <row r="25" spans="1:20" x14ac:dyDescent="0.3">
      <c r="A25" s="1" t="s">
        <v>420</v>
      </c>
      <c r="B25" s="1" t="s">
        <v>40</v>
      </c>
      <c r="C25" s="1" t="s">
        <v>16</v>
      </c>
      <c r="D25" s="2">
        <v>4400</v>
      </c>
      <c r="E25" s="1" t="s">
        <v>704</v>
      </c>
      <c r="F25" s="3">
        <v>30276</v>
      </c>
      <c r="G25" s="1" t="s">
        <v>1</v>
      </c>
      <c r="H25" s="1" t="s">
        <v>7</v>
      </c>
      <c r="I25" s="3">
        <v>43250</v>
      </c>
      <c r="J25" s="3"/>
      <c r="K25" s="1" t="s">
        <v>361</v>
      </c>
      <c r="L25" s="1" t="s">
        <v>356</v>
      </c>
      <c r="M25" s="1" t="s">
        <v>700</v>
      </c>
      <c r="N25" s="1" t="s">
        <v>352</v>
      </c>
      <c r="O25" s="1" t="s">
        <v>364</v>
      </c>
      <c r="P25" s="1">
        <v>5</v>
      </c>
      <c r="Q25" s="1">
        <v>4</v>
      </c>
      <c r="R25" s="1">
        <v>0</v>
      </c>
      <c r="S25" s="3">
        <v>44166</v>
      </c>
      <c r="T25" s="7">
        <f t="shared" si="0"/>
        <v>5.5945205479452058</v>
      </c>
    </row>
    <row r="26" spans="1:20" x14ac:dyDescent="0.3">
      <c r="A26" s="1" t="s">
        <v>421</v>
      </c>
      <c r="B26" s="1" t="s">
        <v>41</v>
      </c>
      <c r="C26" s="1" t="s">
        <v>16</v>
      </c>
      <c r="D26" s="2">
        <v>4180</v>
      </c>
      <c r="E26" s="1" t="s">
        <v>704</v>
      </c>
      <c r="F26" s="3">
        <v>32695</v>
      </c>
      <c r="G26" s="1" t="s">
        <v>1</v>
      </c>
      <c r="H26" s="1" t="s">
        <v>349</v>
      </c>
      <c r="I26" s="3">
        <v>44049</v>
      </c>
      <c r="J26" s="3"/>
      <c r="K26" s="1" t="s">
        <v>361</v>
      </c>
      <c r="L26" s="1" t="s">
        <v>356</v>
      </c>
      <c r="M26" s="1" t="s">
        <v>700</v>
      </c>
      <c r="N26" s="1" t="s">
        <v>701</v>
      </c>
      <c r="O26" s="1" t="s">
        <v>364</v>
      </c>
      <c r="P26" s="1">
        <v>2.79</v>
      </c>
      <c r="Q26" s="1">
        <v>5</v>
      </c>
      <c r="R26" s="1">
        <v>0</v>
      </c>
      <c r="S26" s="3">
        <v>44166</v>
      </c>
      <c r="T26" s="7">
        <f t="shared" si="0"/>
        <v>3.4054794520547946</v>
      </c>
    </row>
    <row r="27" spans="1:20" x14ac:dyDescent="0.3">
      <c r="A27" s="1" t="s">
        <v>422</v>
      </c>
      <c r="B27" s="1" t="s">
        <v>42</v>
      </c>
      <c r="C27" s="1" t="s">
        <v>16</v>
      </c>
      <c r="D27" s="2">
        <v>3740</v>
      </c>
      <c r="E27" s="1" t="s">
        <v>704</v>
      </c>
      <c r="F27" s="3">
        <v>31738</v>
      </c>
      <c r="G27" s="1" t="s">
        <v>17</v>
      </c>
      <c r="H27" s="1" t="s">
        <v>349</v>
      </c>
      <c r="I27" s="3">
        <v>41769</v>
      </c>
      <c r="J27" s="3"/>
      <c r="K27" s="1" t="s">
        <v>361</v>
      </c>
      <c r="L27" s="1" t="s">
        <v>356</v>
      </c>
      <c r="M27" s="1" t="s">
        <v>700</v>
      </c>
      <c r="N27" s="1" t="s">
        <v>353</v>
      </c>
      <c r="O27" s="1" t="s">
        <v>364</v>
      </c>
      <c r="P27" s="1">
        <v>3.66</v>
      </c>
      <c r="Q27" s="1">
        <v>3</v>
      </c>
      <c r="R27" s="1">
        <v>0</v>
      </c>
      <c r="S27" s="3">
        <v>44166</v>
      </c>
      <c r="T27" s="7">
        <f t="shared" si="0"/>
        <v>9.6520547945205486</v>
      </c>
    </row>
    <row r="28" spans="1:20" x14ac:dyDescent="0.3">
      <c r="A28" s="1" t="s">
        <v>423</v>
      </c>
      <c r="B28" s="1" t="s">
        <v>43</v>
      </c>
      <c r="C28" s="1" t="s">
        <v>16</v>
      </c>
      <c r="D28" s="2">
        <v>3740</v>
      </c>
      <c r="E28" s="1" t="s">
        <v>704</v>
      </c>
      <c r="F28" s="3">
        <v>28986</v>
      </c>
      <c r="G28" s="1" t="s">
        <v>1</v>
      </c>
      <c r="H28" s="1" t="s">
        <v>349</v>
      </c>
      <c r="I28" s="3">
        <v>44347</v>
      </c>
      <c r="J28" s="3"/>
      <c r="K28" s="1" t="s">
        <v>361</v>
      </c>
      <c r="L28" s="1" t="s">
        <v>356</v>
      </c>
      <c r="M28" s="1" t="s">
        <v>700</v>
      </c>
      <c r="N28" s="1" t="s">
        <v>353</v>
      </c>
      <c r="O28" s="1" t="s">
        <v>364</v>
      </c>
      <c r="P28" s="1">
        <v>5</v>
      </c>
      <c r="Q28" s="1">
        <v>4</v>
      </c>
      <c r="R28" s="1">
        <v>0</v>
      </c>
      <c r="S28" s="3">
        <v>44166</v>
      </c>
      <c r="T28" s="7">
        <f t="shared" si="0"/>
        <v>2.5890410958904111</v>
      </c>
    </row>
    <row r="29" spans="1:20" x14ac:dyDescent="0.3">
      <c r="A29" s="1" t="s">
        <v>424</v>
      </c>
      <c r="B29" s="1" t="s">
        <v>44</v>
      </c>
      <c r="C29" s="1" t="s">
        <v>27</v>
      </c>
      <c r="D29" s="2">
        <v>4840</v>
      </c>
      <c r="E29" s="1" t="s">
        <v>704</v>
      </c>
      <c r="F29" s="3">
        <v>32277</v>
      </c>
      <c r="G29" s="1" t="s">
        <v>1</v>
      </c>
      <c r="H29" s="1" t="s">
        <v>349</v>
      </c>
      <c r="I29" s="3">
        <v>44243</v>
      </c>
      <c r="J29" s="3"/>
      <c r="K29" s="1" t="s">
        <v>361</v>
      </c>
      <c r="L29" s="1" t="s">
        <v>356</v>
      </c>
      <c r="M29" s="1" t="s">
        <v>700</v>
      </c>
      <c r="N29" s="1" t="s">
        <v>353</v>
      </c>
      <c r="O29" s="1" t="s">
        <v>365</v>
      </c>
      <c r="P29" s="1">
        <v>2.44</v>
      </c>
      <c r="Q29" s="1">
        <v>3</v>
      </c>
      <c r="R29" s="1">
        <v>0</v>
      </c>
      <c r="S29" s="3">
        <v>44166</v>
      </c>
      <c r="T29" s="7">
        <f t="shared" si="0"/>
        <v>2.8739726027397259</v>
      </c>
    </row>
    <row r="30" spans="1:20" x14ac:dyDescent="0.3">
      <c r="A30" s="1" t="s">
        <v>425</v>
      </c>
      <c r="B30" s="1" t="s">
        <v>45</v>
      </c>
      <c r="C30" s="1" t="s">
        <v>16</v>
      </c>
      <c r="D30" s="2">
        <v>3300</v>
      </c>
      <c r="E30" s="1" t="s">
        <v>704</v>
      </c>
      <c r="F30" s="3">
        <v>30544</v>
      </c>
      <c r="G30" s="1" t="s">
        <v>1</v>
      </c>
      <c r="H30" s="1" t="s">
        <v>349</v>
      </c>
      <c r="I30" s="3">
        <v>44467</v>
      </c>
      <c r="J30" s="3"/>
      <c r="K30" s="1" t="s">
        <v>361</v>
      </c>
      <c r="L30" s="1" t="s">
        <v>356</v>
      </c>
      <c r="M30" s="1" t="s">
        <v>700</v>
      </c>
      <c r="N30" s="1" t="s">
        <v>352</v>
      </c>
      <c r="O30" s="1" t="s">
        <v>364</v>
      </c>
      <c r="P30" s="1">
        <v>1.24</v>
      </c>
      <c r="Q30" s="1">
        <v>5</v>
      </c>
      <c r="R30" s="1">
        <v>0</v>
      </c>
      <c r="S30" s="3">
        <v>44166</v>
      </c>
      <c r="T30" s="7">
        <f t="shared" si="0"/>
        <v>2.2602739726027399</v>
      </c>
    </row>
    <row r="31" spans="1:20" x14ac:dyDescent="0.3">
      <c r="A31" s="1" t="s">
        <v>426</v>
      </c>
      <c r="B31" s="1" t="s">
        <v>46</v>
      </c>
      <c r="C31" s="1" t="s">
        <v>16</v>
      </c>
      <c r="D31" s="2">
        <v>4620</v>
      </c>
      <c r="E31" s="1" t="s">
        <v>704</v>
      </c>
      <c r="F31" s="3">
        <v>34238</v>
      </c>
      <c r="G31" s="1" t="s">
        <v>1</v>
      </c>
      <c r="H31" s="1" t="s">
        <v>7</v>
      </c>
      <c r="I31" s="3">
        <v>42186</v>
      </c>
      <c r="J31" s="3"/>
      <c r="K31" s="1" t="s">
        <v>361</v>
      </c>
      <c r="L31" s="1" t="s">
        <v>356</v>
      </c>
      <c r="M31" s="1" t="s">
        <v>700</v>
      </c>
      <c r="N31" s="1" t="s">
        <v>351</v>
      </c>
      <c r="O31" s="1" t="s">
        <v>364</v>
      </c>
      <c r="P31" s="1">
        <v>4.84</v>
      </c>
      <c r="Q31" s="1">
        <v>5</v>
      </c>
      <c r="R31" s="1">
        <v>0</v>
      </c>
      <c r="S31" s="3">
        <v>44166</v>
      </c>
      <c r="T31" s="7">
        <f t="shared" si="0"/>
        <v>8.5095890410958912</v>
      </c>
    </row>
    <row r="32" spans="1:20" x14ac:dyDescent="0.3">
      <c r="A32" s="1" t="s">
        <v>427</v>
      </c>
      <c r="B32" s="1" t="s">
        <v>47</v>
      </c>
      <c r="C32" s="1" t="s">
        <v>16</v>
      </c>
      <c r="D32" s="2">
        <v>4840</v>
      </c>
      <c r="E32" s="1" t="s">
        <v>704</v>
      </c>
      <c r="F32" s="3">
        <v>27693</v>
      </c>
      <c r="G32" s="1" t="s">
        <v>1</v>
      </c>
      <c r="H32" s="1" t="s">
        <v>349</v>
      </c>
      <c r="I32" s="3">
        <v>43193</v>
      </c>
      <c r="J32" s="3"/>
      <c r="K32" s="1" t="s">
        <v>361</v>
      </c>
      <c r="L32" s="1" t="s">
        <v>356</v>
      </c>
      <c r="M32" s="1" t="s">
        <v>700</v>
      </c>
      <c r="N32" s="1" t="s">
        <v>353</v>
      </c>
      <c r="O32" s="1" t="s">
        <v>364</v>
      </c>
      <c r="P32" s="1">
        <v>5</v>
      </c>
      <c r="Q32" s="1">
        <v>5</v>
      </c>
      <c r="R32" s="1">
        <v>0</v>
      </c>
      <c r="S32" s="3">
        <v>44166</v>
      </c>
      <c r="T32" s="7">
        <f t="shared" si="0"/>
        <v>5.7506849315068491</v>
      </c>
    </row>
    <row r="33" spans="1:20" x14ac:dyDescent="0.3">
      <c r="A33" s="1" t="s">
        <v>428</v>
      </c>
      <c r="B33" s="1" t="s">
        <v>48</v>
      </c>
      <c r="C33" s="1" t="s">
        <v>16</v>
      </c>
      <c r="D33" s="2">
        <v>4290</v>
      </c>
      <c r="E33" s="1" t="s">
        <v>704</v>
      </c>
      <c r="F33" s="3">
        <v>31016</v>
      </c>
      <c r="G33" s="1" t="s">
        <v>1</v>
      </c>
      <c r="H33" s="1" t="s">
        <v>349</v>
      </c>
      <c r="I33" s="3">
        <v>44534</v>
      </c>
      <c r="J33" s="3"/>
      <c r="K33" s="1" t="s">
        <v>361</v>
      </c>
      <c r="L33" s="1" t="s">
        <v>356</v>
      </c>
      <c r="M33" s="1" t="s">
        <v>700</v>
      </c>
      <c r="N33" s="1" t="s">
        <v>353</v>
      </c>
      <c r="O33" s="1" t="s">
        <v>364</v>
      </c>
      <c r="P33" s="1">
        <v>2.73</v>
      </c>
      <c r="Q33" s="1">
        <v>4</v>
      </c>
      <c r="R33" s="1">
        <v>0</v>
      </c>
      <c r="S33" s="3">
        <v>44166</v>
      </c>
      <c r="T33" s="7">
        <f t="shared" si="0"/>
        <v>2.0767123287671234</v>
      </c>
    </row>
    <row r="34" spans="1:20" x14ac:dyDescent="0.3">
      <c r="A34" s="1" t="s">
        <v>429</v>
      </c>
      <c r="B34" s="1" t="s">
        <v>49</v>
      </c>
      <c r="C34" s="1" t="s">
        <v>16</v>
      </c>
      <c r="D34" s="2">
        <v>3300</v>
      </c>
      <c r="E34" s="1" t="s">
        <v>704</v>
      </c>
      <c r="F34" s="3">
        <v>30446</v>
      </c>
      <c r="G34" s="1" t="s">
        <v>1</v>
      </c>
      <c r="H34" s="1" t="s">
        <v>7</v>
      </c>
      <c r="I34" s="3">
        <v>43502</v>
      </c>
      <c r="J34" s="3"/>
      <c r="K34" s="1" t="s">
        <v>361</v>
      </c>
      <c r="L34" s="1" t="s">
        <v>356</v>
      </c>
      <c r="M34" s="1" t="s">
        <v>700</v>
      </c>
      <c r="N34" s="1" t="s">
        <v>351</v>
      </c>
      <c r="O34" s="1" t="s">
        <v>364</v>
      </c>
      <c r="P34" s="1">
        <v>5</v>
      </c>
      <c r="Q34" s="1">
        <v>3</v>
      </c>
      <c r="R34" s="1">
        <v>0</v>
      </c>
      <c r="S34" s="3">
        <v>44166</v>
      </c>
      <c r="T34" s="7">
        <f t="shared" si="0"/>
        <v>4.904109589041096</v>
      </c>
    </row>
    <row r="35" spans="1:20" x14ac:dyDescent="0.3">
      <c r="A35" s="1" t="s">
        <v>430</v>
      </c>
      <c r="B35" s="1" t="s">
        <v>50</v>
      </c>
      <c r="C35" s="1" t="s">
        <v>16</v>
      </c>
      <c r="D35" s="2">
        <v>4620</v>
      </c>
      <c r="E35" s="1" t="s">
        <v>704</v>
      </c>
      <c r="F35" s="3">
        <v>31816</v>
      </c>
      <c r="G35" s="1" t="s">
        <v>17</v>
      </c>
      <c r="H35" s="1" t="s">
        <v>7</v>
      </c>
      <c r="I35" s="3">
        <v>43599</v>
      </c>
      <c r="J35" s="3"/>
      <c r="K35" s="1" t="s">
        <v>361</v>
      </c>
      <c r="L35" s="1" t="s">
        <v>356</v>
      </c>
      <c r="M35" s="1" t="s">
        <v>700</v>
      </c>
      <c r="N35" s="1" t="s">
        <v>353</v>
      </c>
      <c r="O35" s="1" t="s">
        <v>364</v>
      </c>
      <c r="P35" s="1">
        <v>1.83</v>
      </c>
      <c r="Q35" s="1">
        <v>3</v>
      </c>
      <c r="R35" s="1">
        <v>0</v>
      </c>
      <c r="S35" s="3">
        <v>44166</v>
      </c>
      <c r="T35" s="7">
        <f t="shared" si="0"/>
        <v>4.6383561643835618</v>
      </c>
    </row>
    <row r="36" spans="1:20" x14ac:dyDescent="0.3">
      <c r="A36" s="1" t="s">
        <v>431</v>
      </c>
      <c r="B36" s="1" t="s">
        <v>51</v>
      </c>
      <c r="C36" s="1" t="s">
        <v>16</v>
      </c>
      <c r="D36" s="2">
        <v>3300</v>
      </c>
      <c r="E36" s="1" t="s">
        <v>704</v>
      </c>
      <c r="F36" s="3">
        <v>32695</v>
      </c>
      <c r="G36" s="1" t="s">
        <v>1</v>
      </c>
      <c r="H36" s="1" t="s">
        <v>349</v>
      </c>
      <c r="I36" s="3">
        <v>43834</v>
      </c>
      <c r="J36" s="3"/>
      <c r="K36" s="1" t="s">
        <v>361</v>
      </c>
      <c r="L36" s="1" t="s">
        <v>356</v>
      </c>
      <c r="M36" s="1" t="s">
        <v>700</v>
      </c>
      <c r="N36" s="1" t="s">
        <v>351</v>
      </c>
      <c r="O36" s="1" t="s">
        <v>364</v>
      </c>
      <c r="P36" s="1">
        <v>1.76</v>
      </c>
      <c r="Q36" s="1">
        <v>4</v>
      </c>
      <c r="R36" s="1">
        <v>0</v>
      </c>
      <c r="S36" s="3">
        <v>44166</v>
      </c>
      <c r="T36" s="7">
        <f t="shared" si="0"/>
        <v>3.9945205479452053</v>
      </c>
    </row>
    <row r="37" spans="1:20" x14ac:dyDescent="0.3">
      <c r="A37" s="1" t="s">
        <v>432</v>
      </c>
      <c r="B37" s="1" t="s">
        <v>52</v>
      </c>
      <c r="C37" s="1" t="s">
        <v>16</v>
      </c>
      <c r="D37" s="2">
        <v>4620</v>
      </c>
      <c r="E37" s="1" t="s">
        <v>704</v>
      </c>
      <c r="F37" s="3">
        <v>34248</v>
      </c>
      <c r="G37" s="1" t="s">
        <v>1</v>
      </c>
      <c r="H37" s="1" t="s">
        <v>7</v>
      </c>
      <c r="I37" s="3">
        <v>44467</v>
      </c>
      <c r="J37" s="3"/>
      <c r="K37" s="1" t="s">
        <v>361</v>
      </c>
      <c r="L37" s="1" t="s">
        <v>356</v>
      </c>
      <c r="M37" s="1" t="s">
        <v>700</v>
      </c>
      <c r="N37" s="1" t="s">
        <v>352</v>
      </c>
      <c r="O37" s="1" t="s">
        <v>364</v>
      </c>
      <c r="P37" s="1">
        <v>3.51</v>
      </c>
      <c r="Q37" s="1">
        <v>3</v>
      </c>
      <c r="R37" s="1">
        <v>0</v>
      </c>
      <c r="S37" s="3">
        <v>44166</v>
      </c>
      <c r="T37" s="7">
        <f t="shared" si="0"/>
        <v>2.2602739726027399</v>
      </c>
    </row>
    <row r="38" spans="1:20" x14ac:dyDescent="0.3">
      <c r="A38" s="1" t="s">
        <v>433</v>
      </c>
      <c r="B38" s="1" t="s">
        <v>53</v>
      </c>
      <c r="C38" s="1" t="s">
        <v>16</v>
      </c>
      <c r="D38" s="2">
        <v>3080</v>
      </c>
      <c r="E38" s="1" t="s">
        <v>704</v>
      </c>
      <c r="F38" s="3">
        <v>26890</v>
      </c>
      <c r="G38" s="1" t="s">
        <v>1</v>
      </c>
      <c r="H38" s="1" t="s">
        <v>349</v>
      </c>
      <c r="I38" s="3">
        <v>43599</v>
      </c>
      <c r="J38" s="3"/>
      <c r="K38" s="1" t="s">
        <v>361</v>
      </c>
      <c r="L38" s="1" t="s">
        <v>356</v>
      </c>
      <c r="M38" s="1" t="s">
        <v>700</v>
      </c>
      <c r="N38" s="1" t="s">
        <v>353</v>
      </c>
      <c r="O38" s="1" t="s">
        <v>364</v>
      </c>
      <c r="P38" s="1">
        <v>2.77</v>
      </c>
      <c r="Q38" s="1">
        <v>5</v>
      </c>
      <c r="R38" s="1">
        <v>0</v>
      </c>
      <c r="S38" s="3">
        <v>44166</v>
      </c>
      <c r="T38" s="7">
        <f t="shared" si="0"/>
        <v>4.6383561643835618</v>
      </c>
    </row>
    <row r="39" spans="1:20" x14ac:dyDescent="0.3">
      <c r="A39" s="1" t="s">
        <v>434</v>
      </c>
      <c r="B39" s="1" t="s">
        <v>54</v>
      </c>
      <c r="C39" s="1" t="s">
        <v>16</v>
      </c>
      <c r="D39" s="2">
        <v>3687</v>
      </c>
      <c r="E39" s="1" t="s">
        <v>704</v>
      </c>
      <c r="F39" s="3">
        <v>32342</v>
      </c>
      <c r="G39" s="1" t="s">
        <v>17</v>
      </c>
      <c r="H39" s="1" t="s">
        <v>349</v>
      </c>
      <c r="I39" s="3">
        <v>43515</v>
      </c>
      <c r="J39" s="3"/>
      <c r="K39" s="1" t="s">
        <v>361</v>
      </c>
      <c r="L39" s="1" t="s">
        <v>356</v>
      </c>
      <c r="M39" s="1" t="s">
        <v>700</v>
      </c>
      <c r="N39" s="1" t="s">
        <v>351</v>
      </c>
      <c r="O39" s="1" t="s">
        <v>364</v>
      </c>
      <c r="P39" s="1">
        <v>1.41</v>
      </c>
      <c r="Q39" s="1">
        <v>4</v>
      </c>
      <c r="R39" s="1">
        <v>0</v>
      </c>
      <c r="S39" s="3">
        <v>44166</v>
      </c>
      <c r="T39" s="7">
        <f t="shared" si="0"/>
        <v>4.8684931506849312</v>
      </c>
    </row>
    <row r="40" spans="1:20" x14ac:dyDescent="0.3">
      <c r="A40" s="1" t="s">
        <v>435</v>
      </c>
      <c r="B40" s="1" t="s">
        <v>55</v>
      </c>
      <c r="C40" s="1" t="s">
        <v>16</v>
      </c>
      <c r="D40" s="2">
        <v>4400</v>
      </c>
      <c r="E40" s="1" t="s">
        <v>704</v>
      </c>
      <c r="F40" s="3">
        <v>32174</v>
      </c>
      <c r="G40" s="1" t="s">
        <v>17</v>
      </c>
      <c r="H40" s="1" t="s">
        <v>349</v>
      </c>
      <c r="I40" s="3">
        <v>44285</v>
      </c>
      <c r="J40" s="3"/>
      <c r="K40" s="1" t="s">
        <v>361</v>
      </c>
      <c r="L40" s="1" t="s">
        <v>356</v>
      </c>
      <c r="M40" s="1" t="s">
        <v>700</v>
      </c>
      <c r="N40" s="1" t="s">
        <v>351</v>
      </c>
      <c r="O40" s="1" t="s">
        <v>364</v>
      </c>
      <c r="P40" s="1">
        <v>4.43</v>
      </c>
      <c r="Q40" s="1">
        <v>3</v>
      </c>
      <c r="R40" s="1">
        <v>0</v>
      </c>
      <c r="S40" s="3">
        <v>44166</v>
      </c>
      <c r="T40" s="7">
        <f t="shared" si="0"/>
        <v>2.7589041095890412</v>
      </c>
    </row>
    <row r="41" spans="1:20" x14ac:dyDescent="0.3">
      <c r="A41" s="1" t="s">
        <v>436</v>
      </c>
      <c r="B41" s="1" t="s">
        <v>56</v>
      </c>
      <c r="C41" s="1" t="s">
        <v>16</v>
      </c>
      <c r="D41" s="2">
        <v>3465</v>
      </c>
      <c r="E41" s="1" t="s">
        <v>704</v>
      </c>
      <c r="F41" s="3">
        <v>30040</v>
      </c>
      <c r="G41" s="1" t="s">
        <v>1</v>
      </c>
      <c r="H41" s="1" t="s">
        <v>7</v>
      </c>
      <c r="I41" s="3">
        <v>44681</v>
      </c>
      <c r="J41" s="3"/>
      <c r="K41" s="1" t="s">
        <v>361</v>
      </c>
      <c r="L41" s="1" t="s">
        <v>356</v>
      </c>
      <c r="M41" s="1" t="s">
        <v>700</v>
      </c>
      <c r="N41" s="1" t="s">
        <v>351</v>
      </c>
      <c r="O41" s="1" t="s">
        <v>364</v>
      </c>
      <c r="P41" s="1">
        <v>4.7300000000000004</v>
      </c>
      <c r="Q41" s="1">
        <v>5</v>
      </c>
      <c r="R41" s="1">
        <v>0</v>
      </c>
      <c r="S41" s="3">
        <v>44166</v>
      </c>
      <c r="T41" s="7">
        <f t="shared" si="0"/>
        <v>1.6739726027397259</v>
      </c>
    </row>
    <row r="42" spans="1:20" x14ac:dyDescent="0.3">
      <c r="A42" s="1" t="s">
        <v>437</v>
      </c>
      <c r="B42" s="1" t="s">
        <v>57</v>
      </c>
      <c r="C42" s="1" t="s">
        <v>16</v>
      </c>
      <c r="D42" s="2">
        <v>4675</v>
      </c>
      <c r="E42" s="1" t="s">
        <v>704</v>
      </c>
      <c r="F42" s="3">
        <v>29005</v>
      </c>
      <c r="G42" s="1" t="s">
        <v>17</v>
      </c>
      <c r="H42" s="1" t="s">
        <v>349</v>
      </c>
      <c r="I42" s="3">
        <v>44479</v>
      </c>
      <c r="J42" s="3"/>
      <c r="K42" s="1" t="s">
        <v>361</v>
      </c>
      <c r="L42" s="1" t="s">
        <v>356</v>
      </c>
      <c r="M42" s="1" t="s">
        <v>700</v>
      </c>
      <c r="N42" s="1" t="s">
        <v>351</v>
      </c>
      <c r="O42" s="1" t="s">
        <v>364</v>
      </c>
      <c r="P42" s="1">
        <v>1.86</v>
      </c>
      <c r="Q42" s="1">
        <v>5</v>
      </c>
      <c r="R42" s="1">
        <v>0</v>
      </c>
      <c r="S42" s="3">
        <v>44166</v>
      </c>
      <c r="T42" s="7">
        <f t="shared" si="0"/>
        <v>2.2273972602739724</v>
      </c>
    </row>
    <row r="43" spans="1:20" x14ac:dyDescent="0.3">
      <c r="A43" s="1" t="s">
        <v>438</v>
      </c>
      <c r="B43" s="1" t="s">
        <v>58</v>
      </c>
      <c r="C43" s="1" t="s">
        <v>16</v>
      </c>
      <c r="D43" s="2">
        <v>4620</v>
      </c>
      <c r="E43" s="1" t="s">
        <v>704</v>
      </c>
      <c r="F43" s="3">
        <v>30552</v>
      </c>
      <c r="G43" s="1" t="s">
        <v>17</v>
      </c>
      <c r="H43" s="1" t="s">
        <v>7</v>
      </c>
      <c r="I43" s="3">
        <v>44285</v>
      </c>
      <c r="J43" s="3"/>
      <c r="K43" s="1" t="s">
        <v>361</v>
      </c>
      <c r="L43" s="1" t="s">
        <v>356</v>
      </c>
      <c r="M43" s="1" t="s">
        <v>700</v>
      </c>
      <c r="N43" s="1" t="s">
        <v>701</v>
      </c>
      <c r="O43" s="1" t="s">
        <v>364</v>
      </c>
      <c r="P43" s="1">
        <v>2.0499999999999998</v>
      </c>
      <c r="Q43" s="1">
        <v>3</v>
      </c>
      <c r="R43" s="1">
        <v>0</v>
      </c>
      <c r="S43" s="3">
        <v>44166</v>
      </c>
      <c r="T43" s="7">
        <f t="shared" si="0"/>
        <v>2.7589041095890412</v>
      </c>
    </row>
    <row r="44" spans="1:20" x14ac:dyDescent="0.3">
      <c r="A44" s="1" t="s">
        <v>439</v>
      </c>
      <c r="B44" s="1" t="s">
        <v>59</v>
      </c>
      <c r="C44" s="1" t="s">
        <v>16</v>
      </c>
      <c r="D44" s="2">
        <v>5280</v>
      </c>
      <c r="E44" s="1" t="s">
        <v>704</v>
      </c>
      <c r="F44" s="3">
        <v>32184</v>
      </c>
      <c r="G44" s="1" t="s">
        <v>1</v>
      </c>
      <c r="H44" s="1" t="s">
        <v>349</v>
      </c>
      <c r="I44" s="3">
        <v>43235</v>
      </c>
      <c r="J44" s="3"/>
      <c r="K44" s="1" t="s">
        <v>361</v>
      </c>
      <c r="L44" s="1" t="s">
        <v>356</v>
      </c>
      <c r="M44" s="1" t="s">
        <v>700</v>
      </c>
      <c r="N44" s="1" t="s">
        <v>351</v>
      </c>
      <c r="O44" s="1" t="s">
        <v>364</v>
      </c>
      <c r="P44" s="1">
        <v>1.66</v>
      </c>
      <c r="Q44" s="1">
        <v>4</v>
      </c>
      <c r="R44" s="1">
        <v>0</v>
      </c>
      <c r="S44" s="3">
        <v>44166</v>
      </c>
      <c r="T44" s="7">
        <f t="shared" si="0"/>
        <v>5.6356164383561644</v>
      </c>
    </row>
    <row r="45" spans="1:20" x14ac:dyDescent="0.3">
      <c r="A45" s="1" t="s">
        <v>440</v>
      </c>
      <c r="B45" s="1" t="s">
        <v>60</v>
      </c>
      <c r="C45" s="1" t="s">
        <v>16</v>
      </c>
      <c r="D45" s="2">
        <v>4180</v>
      </c>
      <c r="E45" s="1" t="s">
        <v>704</v>
      </c>
      <c r="F45" s="3">
        <v>25305</v>
      </c>
      <c r="G45" s="1" t="s">
        <v>1</v>
      </c>
      <c r="H45" s="1" t="s">
        <v>349</v>
      </c>
      <c r="I45" s="3">
        <v>44347</v>
      </c>
      <c r="J45" s="3"/>
      <c r="K45" s="1" t="s">
        <v>361</v>
      </c>
      <c r="L45" s="1" t="s">
        <v>356</v>
      </c>
      <c r="M45" s="1" t="s">
        <v>700</v>
      </c>
      <c r="N45" s="1" t="s">
        <v>352</v>
      </c>
      <c r="O45" s="1" t="s">
        <v>364</v>
      </c>
      <c r="P45" s="1">
        <v>5</v>
      </c>
      <c r="Q45" s="1">
        <v>5</v>
      </c>
      <c r="R45" s="1">
        <v>0</v>
      </c>
      <c r="S45" s="3">
        <v>44166</v>
      </c>
      <c r="T45" s="7">
        <f t="shared" si="0"/>
        <v>2.5890410958904111</v>
      </c>
    </row>
    <row r="46" spans="1:20" x14ac:dyDescent="0.3">
      <c r="A46" s="1" t="s">
        <v>441</v>
      </c>
      <c r="B46" s="1" t="s">
        <v>61</v>
      </c>
      <c r="C46" s="1" t="s">
        <v>13</v>
      </c>
      <c r="D46" s="2">
        <v>3520</v>
      </c>
      <c r="E46" s="1" t="s">
        <v>704</v>
      </c>
      <c r="F46" s="3">
        <v>29901</v>
      </c>
      <c r="G46" s="1" t="s">
        <v>17</v>
      </c>
      <c r="H46" s="1" t="s">
        <v>7</v>
      </c>
      <c r="I46" s="3">
        <v>44103</v>
      </c>
      <c r="J46" s="3"/>
      <c r="K46" s="1" t="s">
        <v>361</v>
      </c>
      <c r="L46" s="1" t="s">
        <v>356</v>
      </c>
      <c r="M46" s="1" t="s">
        <v>700</v>
      </c>
      <c r="N46" s="1" t="s">
        <v>352</v>
      </c>
      <c r="O46" s="1" t="s">
        <v>366</v>
      </c>
      <c r="P46" s="1">
        <v>2.86</v>
      </c>
      <c r="Q46" s="1">
        <v>2</v>
      </c>
      <c r="R46" s="1">
        <v>0</v>
      </c>
      <c r="S46" s="3">
        <v>44166</v>
      </c>
      <c r="T46" s="7">
        <f t="shared" si="0"/>
        <v>3.2575342465753425</v>
      </c>
    </row>
    <row r="47" spans="1:20" x14ac:dyDescent="0.3">
      <c r="A47" s="1" t="s">
        <v>442</v>
      </c>
      <c r="B47" s="1" t="s">
        <v>62</v>
      </c>
      <c r="C47" s="1" t="s">
        <v>16</v>
      </c>
      <c r="D47" s="2">
        <v>3520</v>
      </c>
      <c r="E47" s="1" t="s">
        <v>704</v>
      </c>
      <c r="F47" s="3">
        <v>24276</v>
      </c>
      <c r="G47" s="1" t="s">
        <v>17</v>
      </c>
      <c r="H47" s="1" t="s">
        <v>349</v>
      </c>
      <c r="I47" s="3">
        <v>44347</v>
      </c>
      <c r="J47" s="3"/>
      <c r="K47" s="1" t="s">
        <v>361</v>
      </c>
      <c r="L47" s="1" t="s">
        <v>356</v>
      </c>
      <c r="M47" s="1" t="s">
        <v>700</v>
      </c>
      <c r="N47" s="1" t="s">
        <v>701</v>
      </c>
      <c r="O47" s="1" t="s">
        <v>364</v>
      </c>
      <c r="P47" s="1">
        <v>2.4500000000000002</v>
      </c>
      <c r="Q47" s="1">
        <v>3</v>
      </c>
      <c r="R47" s="1">
        <v>0</v>
      </c>
      <c r="S47" s="3">
        <v>44166</v>
      </c>
      <c r="T47" s="7">
        <f t="shared" si="0"/>
        <v>2.5890410958904111</v>
      </c>
    </row>
    <row r="48" spans="1:20" x14ac:dyDescent="0.3">
      <c r="A48" s="1" t="s">
        <v>443</v>
      </c>
      <c r="B48" s="1" t="s">
        <v>63</v>
      </c>
      <c r="C48" s="1" t="s">
        <v>16</v>
      </c>
      <c r="D48" s="2">
        <v>4840</v>
      </c>
      <c r="E48" s="1" t="s">
        <v>704</v>
      </c>
      <c r="F48" s="3">
        <v>32945</v>
      </c>
      <c r="G48" s="1" t="s">
        <v>17</v>
      </c>
      <c r="H48" s="1" t="s">
        <v>7</v>
      </c>
      <c r="I48" s="3">
        <v>44243</v>
      </c>
      <c r="J48" s="3"/>
      <c r="K48" s="1" t="s">
        <v>361</v>
      </c>
      <c r="L48" s="1" t="s">
        <v>356</v>
      </c>
      <c r="M48" s="1" t="s">
        <v>700</v>
      </c>
      <c r="N48" s="1" t="s">
        <v>352</v>
      </c>
      <c r="O48" s="1" t="s">
        <v>364</v>
      </c>
      <c r="P48" s="1">
        <v>1.39</v>
      </c>
      <c r="Q48" s="1">
        <v>3</v>
      </c>
      <c r="R48" s="1">
        <v>0</v>
      </c>
      <c r="S48" s="3">
        <v>44166</v>
      </c>
      <c r="T48" s="7">
        <f t="shared" si="0"/>
        <v>2.8739726027397259</v>
      </c>
    </row>
    <row r="49" spans="1:20" x14ac:dyDescent="0.3">
      <c r="A49" s="1" t="s">
        <v>444</v>
      </c>
      <c r="B49" s="1" t="s">
        <v>64</v>
      </c>
      <c r="C49" s="1" t="s">
        <v>16</v>
      </c>
      <c r="D49" s="2">
        <v>4840</v>
      </c>
      <c r="E49" s="1" t="s">
        <v>704</v>
      </c>
      <c r="F49" s="3">
        <v>32190</v>
      </c>
      <c r="G49" s="1" t="s">
        <v>17</v>
      </c>
      <c r="H49" s="1" t="s">
        <v>349</v>
      </c>
      <c r="I49" s="3">
        <v>44103</v>
      </c>
      <c r="J49" s="3"/>
      <c r="K49" s="1" t="s">
        <v>361</v>
      </c>
      <c r="L49" s="1" t="s">
        <v>356</v>
      </c>
      <c r="M49" s="1" t="s">
        <v>700</v>
      </c>
      <c r="N49" s="1" t="s">
        <v>701</v>
      </c>
      <c r="O49" s="1" t="s">
        <v>364</v>
      </c>
      <c r="P49" s="1">
        <v>5</v>
      </c>
      <c r="Q49" s="1">
        <v>4</v>
      </c>
      <c r="R49" s="1">
        <v>0</v>
      </c>
      <c r="S49" s="3">
        <v>44166</v>
      </c>
      <c r="T49" s="7">
        <f t="shared" si="0"/>
        <v>3.2575342465753425</v>
      </c>
    </row>
    <row r="50" spans="1:20" x14ac:dyDescent="0.3">
      <c r="A50" s="1" t="s">
        <v>445</v>
      </c>
      <c r="B50" s="1" t="s">
        <v>65</v>
      </c>
      <c r="C50" s="1" t="s">
        <v>16</v>
      </c>
      <c r="D50" s="2">
        <v>4840</v>
      </c>
      <c r="E50" s="1" t="s">
        <v>704</v>
      </c>
      <c r="F50" s="3">
        <v>23371</v>
      </c>
      <c r="G50" s="1" t="s">
        <v>1</v>
      </c>
      <c r="H50" s="1" t="s">
        <v>349</v>
      </c>
      <c r="I50" s="3">
        <v>44061</v>
      </c>
      <c r="J50" s="3"/>
      <c r="K50" s="1" t="s">
        <v>361</v>
      </c>
      <c r="L50" s="1" t="s">
        <v>356</v>
      </c>
      <c r="M50" s="1" t="s">
        <v>700</v>
      </c>
      <c r="N50" s="1" t="s">
        <v>351</v>
      </c>
      <c r="O50" s="1" t="s">
        <v>364</v>
      </c>
      <c r="P50" s="1">
        <v>2.39</v>
      </c>
      <c r="Q50" s="1">
        <v>3</v>
      </c>
      <c r="R50" s="1">
        <v>0</v>
      </c>
      <c r="S50" s="3">
        <v>44166</v>
      </c>
      <c r="T50" s="7">
        <f t="shared" si="0"/>
        <v>3.3726027397260272</v>
      </c>
    </row>
    <row r="51" spans="1:20" x14ac:dyDescent="0.3">
      <c r="A51" s="1" t="s">
        <v>446</v>
      </c>
      <c r="B51" s="1" t="s">
        <v>66</v>
      </c>
      <c r="C51" s="1" t="s">
        <v>16</v>
      </c>
      <c r="D51" s="2">
        <v>4840</v>
      </c>
      <c r="E51" s="1" t="s">
        <v>704</v>
      </c>
      <c r="F51" s="3">
        <v>34119</v>
      </c>
      <c r="G51" s="1" t="s">
        <v>1</v>
      </c>
      <c r="H51" s="1" t="s">
        <v>349</v>
      </c>
      <c r="I51" s="3">
        <v>43168</v>
      </c>
      <c r="J51" s="3"/>
      <c r="K51" s="1" t="s">
        <v>361</v>
      </c>
      <c r="L51" s="1" t="s">
        <v>356</v>
      </c>
      <c r="M51" s="1" t="s">
        <v>700</v>
      </c>
      <c r="N51" s="1" t="s">
        <v>353</v>
      </c>
      <c r="O51" s="1" t="s">
        <v>364</v>
      </c>
      <c r="P51" s="1">
        <v>3.58</v>
      </c>
      <c r="Q51" s="1">
        <v>5</v>
      </c>
      <c r="R51" s="1">
        <v>0</v>
      </c>
      <c r="S51" s="3">
        <v>44166</v>
      </c>
      <c r="T51" s="7">
        <f t="shared" si="0"/>
        <v>5.8191780821917805</v>
      </c>
    </row>
    <row r="52" spans="1:20" x14ac:dyDescent="0.3">
      <c r="A52" s="1" t="s">
        <v>447</v>
      </c>
      <c r="B52" s="1" t="s">
        <v>67</v>
      </c>
      <c r="C52" s="1" t="s">
        <v>16</v>
      </c>
      <c r="D52" s="2">
        <v>4620</v>
      </c>
      <c r="E52" s="1" t="s">
        <v>704</v>
      </c>
      <c r="F52" s="3">
        <v>32095</v>
      </c>
      <c r="G52" s="1" t="s">
        <v>17</v>
      </c>
      <c r="H52" s="1" t="s">
        <v>349</v>
      </c>
      <c r="I52" s="3">
        <v>44534</v>
      </c>
      <c r="J52" s="3"/>
      <c r="K52" s="1" t="s">
        <v>361</v>
      </c>
      <c r="L52" s="1" t="s">
        <v>356</v>
      </c>
      <c r="M52" s="1" t="s">
        <v>700</v>
      </c>
      <c r="N52" s="1" t="s">
        <v>353</v>
      </c>
      <c r="O52" s="1" t="s">
        <v>364</v>
      </c>
      <c r="P52" s="1">
        <v>1.1299999999999999</v>
      </c>
      <c r="Q52" s="1">
        <v>4</v>
      </c>
      <c r="R52" s="1">
        <v>0</v>
      </c>
      <c r="S52" s="3">
        <v>44166</v>
      </c>
      <c r="T52" s="7">
        <f t="shared" si="0"/>
        <v>2.0767123287671234</v>
      </c>
    </row>
    <row r="53" spans="1:20" x14ac:dyDescent="0.3">
      <c r="A53" s="1" t="s">
        <v>448</v>
      </c>
      <c r="B53" s="1" t="s">
        <v>68</v>
      </c>
      <c r="C53" s="1" t="s">
        <v>16</v>
      </c>
      <c r="D53" s="2">
        <v>5060</v>
      </c>
      <c r="E53" s="1" t="s">
        <v>704</v>
      </c>
      <c r="F53" s="3">
        <v>33516</v>
      </c>
      <c r="G53" s="1" t="s">
        <v>1</v>
      </c>
      <c r="H53" s="1" t="s">
        <v>349</v>
      </c>
      <c r="I53" s="3">
        <v>43515</v>
      </c>
      <c r="J53" s="3"/>
      <c r="K53" s="1" t="s">
        <v>361</v>
      </c>
      <c r="L53" s="1" t="s">
        <v>356</v>
      </c>
      <c r="M53" s="1" t="s">
        <v>700</v>
      </c>
      <c r="N53" s="1" t="s">
        <v>353</v>
      </c>
      <c r="O53" s="1" t="s">
        <v>364</v>
      </c>
      <c r="P53" s="1">
        <v>1.85</v>
      </c>
      <c r="Q53" s="1">
        <v>4</v>
      </c>
      <c r="R53" s="1">
        <v>0</v>
      </c>
      <c r="S53" s="3">
        <v>44166</v>
      </c>
      <c r="T53" s="7">
        <f t="shared" si="0"/>
        <v>4.8684931506849312</v>
      </c>
    </row>
    <row r="54" spans="1:20" x14ac:dyDescent="0.3">
      <c r="A54" s="1" t="s">
        <v>449</v>
      </c>
      <c r="B54" s="1" t="s">
        <v>69</v>
      </c>
      <c r="C54" s="1" t="s">
        <v>16</v>
      </c>
      <c r="D54" s="2">
        <v>3740</v>
      </c>
      <c r="E54" s="1" t="s">
        <v>704</v>
      </c>
      <c r="F54" s="3">
        <v>35598</v>
      </c>
      <c r="G54" s="1" t="s">
        <v>1</v>
      </c>
      <c r="H54" s="1" t="s">
        <v>349</v>
      </c>
      <c r="I54" s="3">
        <v>44145</v>
      </c>
      <c r="J54" s="3"/>
      <c r="K54" s="1" t="s">
        <v>361</v>
      </c>
      <c r="L54" s="1" t="s">
        <v>356</v>
      </c>
      <c r="M54" s="1" t="s">
        <v>700</v>
      </c>
      <c r="N54" s="1" t="s">
        <v>353</v>
      </c>
      <c r="O54" s="1" t="s">
        <v>364</v>
      </c>
      <c r="P54" s="1">
        <v>1.94</v>
      </c>
      <c r="Q54" s="1">
        <v>5</v>
      </c>
      <c r="R54" s="1">
        <v>0</v>
      </c>
      <c r="S54" s="3">
        <v>44166</v>
      </c>
      <c r="T54" s="7">
        <f t="shared" si="0"/>
        <v>3.1424657534246574</v>
      </c>
    </row>
    <row r="55" spans="1:20" x14ac:dyDescent="0.3">
      <c r="A55" s="1" t="s">
        <v>450</v>
      </c>
      <c r="B55" s="1">
        <v>1002021900</v>
      </c>
      <c r="C55" s="1" t="s">
        <v>16</v>
      </c>
      <c r="D55" s="2">
        <v>4180</v>
      </c>
      <c r="E55" s="1" t="s">
        <v>704</v>
      </c>
      <c r="F55" s="3">
        <v>32598</v>
      </c>
      <c r="G55" s="1" t="s">
        <v>17</v>
      </c>
      <c r="H55" s="1" t="s">
        <v>349</v>
      </c>
      <c r="I55" s="3">
        <v>43690</v>
      </c>
      <c r="J55" s="3"/>
      <c r="K55" s="1" t="s">
        <v>361</v>
      </c>
      <c r="L55" s="1" t="s">
        <v>356</v>
      </c>
      <c r="M55" s="1" t="s">
        <v>700</v>
      </c>
      <c r="N55" s="1" t="s">
        <v>351</v>
      </c>
      <c r="O55" s="1" t="s">
        <v>364</v>
      </c>
      <c r="P55" s="1">
        <v>4.17</v>
      </c>
      <c r="Q55" s="1">
        <v>4</v>
      </c>
      <c r="R55" s="1">
        <v>0</v>
      </c>
      <c r="S55" s="3">
        <v>44166</v>
      </c>
      <c r="T55" s="7">
        <f t="shared" si="0"/>
        <v>4.3890410958904109</v>
      </c>
    </row>
    <row r="56" spans="1:20" x14ac:dyDescent="0.3">
      <c r="A56" s="1" t="s">
        <v>451</v>
      </c>
      <c r="B56" s="1" t="s">
        <v>70</v>
      </c>
      <c r="C56" s="1" t="s">
        <v>16</v>
      </c>
      <c r="D56" s="2">
        <v>3080</v>
      </c>
      <c r="E56" s="1" t="s">
        <v>704</v>
      </c>
      <c r="F56" s="3">
        <v>30234</v>
      </c>
      <c r="G56" s="1" t="s">
        <v>17</v>
      </c>
      <c r="H56" s="1" t="s">
        <v>349</v>
      </c>
      <c r="I56" s="3">
        <v>44243</v>
      </c>
      <c r="J56" s="3"/>
      <c r="K56" s="1" t="s">
        <v>361</v>
      </c>
      <c r="L56" s="1" t="s">
        <v>356</v>
      </c>
      <c r="M56" s="1" t="s">
        <v>700</v>
      </c>
      <c r="N56" s="1" t="s">
        <v>352</v>
      </c>
      <c r="O56" s="1" t="s">
        <v>364</v>
      </c>
      <c r="P56" s="1">
        <v>2.79</v>
      </c>
      <c r="Q56" s="1">
        <v>3</v>
      </c>
      <c r="R56" s="1">
        <v>0</v>
      </c>
      <c r="S56" s="3">
        <v>44166</v>
      </c>
      <c r="T56" s="7">
        <f t="shared" si="0"/>
        <v>2.8739726027397259</v>
      </c>
    </row>
    <row r="57" spans="1:20" x14ac:dyDescent="0.3">
      <c r="A57" s="1" t="s">
        <v>452</v>
      </c>
      <c r="B57" s="1" t="s">
        <v>71</v>
      </c>
      <c r="C57" s="1" t="s">
        <v>16</v>
      </c>
      <c r="D57" s="2">
        <v>3740</v>
      </c>
      <c r="E57" s="1" t="s">
        <v>704</v>
      </c>
      <c r="F57" s="3">
        <v>33425</v>
      </c>
      <c r="G57" s="1" t="s">
        <v>1</v>
      </c>
      <c r="H57" s="1" t="s">
        <v>349</v>
      </c>
      <c r="I57" s="3">
        <v>44347</v>
      </c>
      <c r="J57" s="3"/>
      <c r="K57" s="1" t="s">
        <v>361</v>
      </c>
      <c r="L57" s="1" t="s">
        <v>356</v>
      </c>
      <c r="M57" s="1" t="s">
        <v>700</v>
      </c>
      <c r="N57" s="1" t="s">
        <v>353</v>
      </c>
      <c r="O57" s="1" t="s">
        <v>364</v>
      </c>
      <c r="P57" s="1">
        <v>2.5499999999999998</v>
      </c>
      <c r="Q57" s="1">
        <v>4</v>
      </c>
      <c r="R57" s="1">
        <v>0</v>
      </c>
      <c r="S57" s="3">
        <v>44166</v>
      </c>
      <c r="T57" s="7">
        <f t="shared" si="0"/>
        <v>2.5890410958904111</v>
      </c>
    </row>
    <row r="58" spans="1:20" x14ac:dyDescent="0.3">
      <c r="A58" s="1" t="s">
        <v>453</v>
      </c>
      <c r="B58" s="1" t="s">
        <v>72</v>
      </c>
      <c r="C58" s="1" t="s">
        <v>16</v>
      </c>
      <c r="D58" s="2">
        <v>3740</v>
      </c>
      <c r="E58" s="1" t="s">
        <v>704</v>
      </c>
      <c r="F58" s="3">
        <v>28755</v>
      </c>
      <c r="G58" s="1" t="s">
        <v>1</v>
      </c>
      <c r="H58" s="1" t="s">
        <v>7</v>
      </c>
      <c r="I58" s="3">
        <v>42850</v>
      </c>
      <c r="J58" s="3"/>
      <c r="K58" s="1" t="s">
        <v>361</v>
      </c>
      <c r="L58" s="1" t="s">
        <v>356</v>
      </c>
      <c r="M58" s="1" t="s">
        <v>700</v>
      </c>
      <c r="N58" s="1" t="s">
        <v>353</v>
      </c>
      <c r="O58" s="1" t="s">
        <v>364</v>
      </c>
      <c r="P58" s="1">
        <v>2.72</v>
      </c>
      <c r="Q58" s="1">
        <v>3</v>
      </c>
      <c r="R58" s="1">
        <v>0</v>
      </c>
      <c r="S58" s="3">
        <v>44166</v>
      </c>
      <c r="T58" s="7">
        <f t="shared" si="0"/>
        <v>6.6904109589041099</v>
      </c>
    </row>
    <row r="59" spans="1:20" x14ac:dyDescent="0.3">
      <c r="A59" s="1" t="s">
        <v>454</v>
      </c>
      <c r="B59" s="1" t="s">
        <v>73</v>
      </c>
      <c r="C59" s="1" t="s">
        <v>16</v>
      </c>
      <c r="D59" s="2">
        <v>5390</v>
      </c>
      <c r="E59" s="1" t="s">
        <v>704</v>
      </c>
      <c r="F59" s="3">
        <v>25600</v>
      </c>
      <c r="G59" s="1" t="s">
        <v>1</v>
      </c>
      <c r="H59" s="1" t="s">
        <v>349</v>
      </c>
      <c r="I59" s="3">
        <v>44145</v>
      </c>
      <c r="J59" s="3"/>
      <c r="K59" s="1" t="s">
        <v>361</v>
      </c>
      <c r="L59" s="1" t="s">
        <v>356</v>
      </c>
      <c r="M59" s="1" t="s">
        <v>700</v>
      </c>
      <c r="N59" s="1" t="s">
        <v>701</v>
      </c>
      <c r="O59" s="1" t="s">
        <v>364</v>
      </c>
      <c r="P59" s="1">
        <v>3.73</v>
      </c>
      <c r="Q59" s="1">
        <v>3</v>
      </c>
      <c r="R59" s="1">
        <v>0</v>
      </c>
      <c r="S59" s="3">
        <v>44166</v>
      </c>
      <c r="T59" s="7">
        <f t="shared" si="0"/>
        <v>3.1424657534246574</v>
      </c>
    </row>
    <row r="60" spans="1:20" x14ac:dyDescent="0.3">
      <c r="A60" s="1" t="s">
        <v>455</v>
      </c>
      <c r="B60" s="1" t="s">
        <v>74</v>
      </c>
      <c r="C60" s="1" t="s">
        <v>16</v>
      </c>
      <c r="D60" s="2">
        <v>3960</v>
      </c>
      <c r="E60" s="1" t="s">
        <v>704</v>
      </c>
      <c r="F60" s="3">
        <v>31154</v>
      </c>
      <c r="G60" s="1" t="s">
        <v>17</v>
      </c>
      <c r="H60" s="1" t="s">
        <v>349</v>
      </c>
      <c r="I60" s="3">
        <v>44049</v>
      </c>
      <c r="J60" s="3"/>
      <c r="K60" s="1" t="s">
        <v>361</v>
      </c>
      <c r="L60" s="1" t="s">
        <v>356</v>
      </c>
      <c r="M60" s="1" t="s">
        <v>700</v>
      </c>
      <c r="N60" s="1" t="s">
        <v>352</v>
      </c>
      <c r="O60" s="1" t="s">
        <v>364</v>
      </c>
      <c r="P60" s="1">
        <v>2.61</v>
      </c>
      <c r="Q60" s="1">
        <v>4</v>
      </c>
      <c r="R60" s="1">
        <v>0</v>
      </c>
      <c r="S60" s="3">
        <v>44166</v>
      </c>
      <c r="T60" s="7">
        <f t="shared" si="0"/>
        <v>3.4054794520547946</v>
      </c>
    </row>
    <row r="61" spans="1:20" x14ac:dyDescent="0.3">
      <c r="A61" s="1" t="s">
        <v>456</v>
      </c>
      <c r="B61" s="1" t="s">
        <v>75</v>
      </c>
      <c r="C61" s="1" t="s">
        <v>16</v>
      </c>
      <c r="D61" s="2">
        <v>4620</v>
      </c>
      <c r="E61" s="1" t="s">
        <v>704</v>
      </c>
      <c r="F61" s="3">
        <v>26013</v>
      </c>
      <c r="G61" s="1" t="s">
        <v>1</v>
      </c>
      <c r="H61" s="1" t="s">
        <v>349</v>
      </c>
      <c r="I61" s="3">
        <v>44103</v>
      </c>
      <c r="J61" s="3"/>
      <c r="K61" s="1" t="s">
        <v>361</v>
      </c>
      <c r="L61" s="1" t="s">
        <v>356</v>
      </c>
      <c r="M61" s="1" t="s">
        <v>700</v>
      </c>
      <c r="N61" s="1" t="s">
        <v>701</v>
      </c>
      <c r="O61" s="1" t="s">
        <v>364</v>
      </c>
      <c r="P61" s="1">
        <v>2.0499999999999998</v>
      </c>
      <c r="Q61" s="1">
        <v>5</v>
      </c>
      <c r="R61" s="1">
        <v>0</v>
      </c>
      <c r="S61" s="3">
        <v>44166</v>
      </c>
      <c r="T61" s="7">
        <f t="shared" si="0"/>
        <v>3.2575342465753425</v>
      </c>
    </row>
    <row r="62" spans="1:20" x14ac:dyDescent="0.3">
      <c r="A62" s="1" t="s">
        <v>457</v>
      </c>
      <c r="B62" s="1" t="s">
        <v>76</v>
      </c>
      <c r="C62" s="1" t="s">
        <v>16</v>
      </c>
      <c r="D62" s="2">
        <v>5280</v>
      </c>
      <c r="E62" s="1" t="s">
        <v>704</v>
      </c>
      <c r="F62" s="3">
        <v>33784</v>
      </c>
      <c r="G62" s="1" t="s">
        <v>1</v>
      </c>
      <c r="H62" s="1" t="s">
        <v>7</v>
      </c>
      <c r="I62" s="3">
        <v>44012</v>
      </c>
      <c r="J62" s="3"/>
      <c r="K62" s="1" t="s">
        <v>361</v>
      </c>
      <c r="L62" s="1" t="s">
        <v>356</v>
      </c>
      <c r="M62" s="1" t="s">
        <v>700</v>
      </c>
      <c r="N62" s="1" t="s">
        <v>353</v>
      </c>
      <c r="O62" s="1" t="s">
        <v>364</v>
      </c>
      <c r="P62" s="1">
        <v>3.93</v>
      </c>
      <c r="Q62" s="1">
        <v>3</v>
      </c>
      <c r="R62" s="1">
        <v>0</v>
      </c>
      <c r="S62" s="3">
        <v>44166</v>
      </c>
      <c r="T62" s="7">
        <f t="shared" si="0"/>
        <v>3.506849315068493</v>
      </c>
    </row>
    <row r="63" spans="1:20" x14ac:dyDescent="0.3">
      <c r="A63" s="1" t="s">
        <v>458</v>
      </c>
      <c r="B63" s="1" t="s">
        <v>77</v>
      </c>
      <c r="C63" s="1" t="s">
        <v>16</v>
      </c>
      <c r="D63" s="2">
        <v>3080</v>
      </c>
      <c r="E63" s="1" t="s">
        <v>704</v>
      </c>
      <c r="F63" s="3">
        <v>32013</v>
      </c>
      <c r="G63" s="1" t="s">
        <v>1</v>
      </c>
      <c r="H63" s="1" t="s">
        <v>349</v>
      </c>
      <c r="I63" s="3">
        <v>43373</v>
      </c>
      <c r="J63" s="3"/>
      <c r="K63" s="1" t="s">
        <v>361</v>
      </c>
      <c r="L63" s="1" t="s">
        <v>356</v>
      </c>
      <c r="M63" s="1" t="s">
        <v>700</v>
      </c>
      <c r="N63" s="1" t="s">
        <v>701</v>
      </c>
      <c r="O63" s="1" t="s">
        <v>364</v>
      </c>
      <c r="P63" s="1">
        <v>1.05</v>
      </c>
      <c r="Q63" s="1">
        <v>4</v>
      </c>
      <c r="R63" s="1">
        <v>0</v>
      </c>
      <c r="S63" s="3">
        <v>44166</v>
      </c>
      <c r="T63" s="7">
        <f t="shared" si="0"/>
        <v>5.2575342465753421</v>
      </c>
    </row>
    <row r="64" spans="1:20" x14ac:dyDescent="0.3">
      <c r="A64" s="1" t="s">
        <v>459</v>
      </c>
      <c r="B64" s="1" t="s">
        <v>78</v>
      </c>
      <c r="C64" s="1" t="s">
        <v>13</v>
      </c>
      <c r="D64" s="2">
        <v>4400</v>
      </c>
      <c r="E64" s="1" t="s">
        <v>704</v>
      </c>
      <c r="F64" s="3">
        <v>32421</v>
      </c>
      <c r="G64" s="1" t="s">
        <v>17</v>
      </c>
      <c r="H64" s="1" t="s">
        <v>349</v>
      </c>
      <c r="I64" s="3">
        <v>43226</v>
      </c>
      <c r="J64" s="3"/>
      <c r="K64" s="1" t="s">
        <v>361</v>
      </c>
      <c r="L64" s="1" t="s">
        <v>356</v>
      </c>
      <c r="M64" s="1" t="s">
        <v>700</v>
      </c>
      <c r="N64" s="1" t="s">
        <v>351</v>
      </c>
      <c r="O64" s="1" t="s">
        <v>366</v>
      </c>
      <c r="P64" s="1">
        <v>2.5099999999999998</v>
      </c>
      <c r="Q64" s="1">
        <v>5</v>
      </c>
      <c r="R64" s="1">
        <v>0</v>
      </c>
      <c r="S64" s="3">
        <v>44166</v>
      </c>
      <c r="T64" s="7">
        <f t="shared" si="0"/>
        <v>5.6602739726027398</v>
      </c>
    </row>
    <row r="65" spans="1:20" x14ac:dyDescent="0.3">
      <c r="A65" s="1" t="s">
        <v>460</v>
      </c>
      <c r="B65" s="1" t="s">
        <v>79</v>
      </c>
      <c r="C65" s="1" t="s">
        <v>16</v>
      </c>
      <c r="D65" s="2">
        <v>3520</v>
      </c>
      <c r="E65" s="1" t="s">
        <v>704</v>
      </c>
      <c r="F65" s="3">
        <v>20485</v>
      </c>
      <c r="G65" s="1" t="s">
        <v>1</v>
      </c>
      <c r="H65" s="1" t="s">
        <v>349</v>
      </c>
      <c r="I65" s="3">
        <v>44467</v>
      </c>
      <c r="J65" s="3"/>
      <c r="K65" s="1" t="s">
        <v>361</v>
      </c>
      <c r="L65" s="1" t="s">
        <v>356</v>
      </c>
      <c r="M65" s="1" t="s">
        <v>700</v>
      </c>
      <c r="N65" s="1" t="s">
        <v>353</v>
      </c>
      <c r="O65" s="1" t="s">
        <v>364</v>
      </c>
      <c r="P65" s="1">
        <v>5</v>
      </c>
      <c r="Q65" s="1">
        <v>4</v>
      </c>
      <c r="R65" s="1">
        <v>0</v>
      </c>
      <c r="S65" s="3">
        <v>44166</v>
      </c>
      <c r="T65" s="7">
        <f t="shared" si="0"/>
        <v>2.2602739726027399</v>
      </c>
    </row>
    <row r="66" spans="1:20" x14ac:dyDescent="0.3">
      <c r="A66" s="1" t="s">
        <v>461</v>
      </c>
      <c r="B66" s="1" t="s">
        <v>80</v>
      </c>
      <c r="C66" s="1" t="s">
        <v>16</v>
      </c>
      <c r="D66" s="2">
        <v>4345</v>
      </c>
      <c r="E66" s="1" t="s">
        <v>704</v>
      </c>
      <c r="F66" s="3">
        <v>33879</v>
      </c>
      <c r="G66" s="1" t="s">
        <v>1</v>
      </c>
      <c r="H66" s="1" t="s">
        <v>349</v>
      </c>
      <c r="I66" s="3">
        <v>45084</v>
      </c>
      <c r="J66" s="3"/>
      <c r="K66" s="1" t="s">
        <v>361</v>
      </c>
      <c r="L66" s="1" t="s">
        <v>356</v>
      </c>
      <c r="M66" s="1" t="s">
        <v>700</v>
      </c>
      <c r="N66" s="1" t="s">
        <v>353</v>
      </c>
      <c r="O66" s="1" t="s">
        <v>364</v>
      </c>
      <c r="P66" s="1">
        <v>4.12</v>
      </c>
      <c r="Q66" s="1">
        <v>5</v>
      </c>
      <c r="R66" s="1">
        <v>0</v>
      </c>
      <c r="S66" s="3">
        <v>44166</v>
      </c>
      <c r="T66" s="7">
        <f t="shared" si="0"/>
        <v>0.56986301369863013</v>
      </c>
    </row>
    <row r="67" spans="1:20" x14ac:dyDescent="0.3">
      <c r="A67" s="1" t="s">
        <v>462</v>
      </c>
      <c r="B67" s="1" t="s">
        <v>81</v>
      </c>
      <c r="C67" s="1" t="s">
        <v>16</v>
      </c>
      <c r="D67" s="2">
        <v>4180</v>
      </c>
      <c r="E67" s="1" t="s">
        <v>704</v>
      </c>
      <c r="F67" s="3">
        <v>34708</v>
      </c>
      <c r="G67" s="1" t="s">
        <v>1</v>
      </c>
      <c r="H67" s="1" t="s">
        <v>7</v>
      </c>
      <c r="I67" s="3">
        <v>44649</v>
      </c>
      <c r="J67" s="3"/>
      <c r="K67" s="1" t="s">
        <v>361</v>
      </c>
      <c r="L67" s="1" t="s">
        <v>356</v>
      </c>
      <c r="M67" s="1" t="s">
        <v>700</v>
      </c>
      <c r="N67" s="1" t="s">
        <v>352</v>
      </c>
      <c r="O67" s="1" t="s">
        <v>364</v>
      </c>
      <c r="P67" s="1">
        <v>3.73</v>
      </c>
      <c r="Q67" s="1">
        <v>3</v>
      </c>
      <c r="R67" s="1">
        <v>0</v>
      </c>
      <c r="S67" s="3">
        <v>44166</v>
      </c>
      <c r="T67" s="7">
        <f t="shared" ref="T67:T130" si="1">IF(L67="Activo",(DATE(2024,1,1)-I67)/365,(J67-I67)/365)</f>
        <v>1.7616438356164383</v>
      </c>
    </row>
    <row r="68" spans="1:20" x14ac:dyDescent="0.3">
      <c r="A68" s="1" t="s">
        <v>463</v>
      </c>
      <c r="B68" s="1" t="s">
        <v>82</v>
      </c>
      <c r="C68" s="1" t="s">
        <v>16</v>
      </c>
      <c r="D68" s="2">
        <v>5280</v>
      </c>
      <c r="E68" s="1" t="s">
        <v>704</v>
      </c>
      <c r="F68" s="3">
        <v>30032</v>
      </c>
      <c r="G68" s="1" t="s">
        <v>1</v>
      </c>
      <c r="H68" s="1" t="s">
        <v>7</v>
      </c>
      <c r="I68" s="3">
        <v>43431</v>
      </c>
      <c r="J68" s="3"/>
      <c r="K68" s="1" t="s">
        <v>361</v>
      </c>
      <c r="L68" s="1" t="s">
        <v>356</v>
      </c>
      <c r="M68" s="1" t="s">
        <v>700</v>
      </c>
      <c r="N68" s="1" t="s">
        <v>701</v>
      </c>
      <c r="O68" s="1" t="s">
        <v>364</v>
      </c>
      <c r="P68" s="1">
        <v>4.2</v>
      </c>
      <c r="Q68" s="1">
        <v>4</v>
      </c>
      <c r="R68" s="1">
        <v>0</v>
      </c>
      <c r="S68" s="3">
        <v>44166</v>
      </c>
      <c r="T68" s="7">
        <f t="shared" si="1"/>
        <v>5.0986301369863014</v>
      </c>
    </row>
    <row r="69" spans="1:20" x14ac:dyDescent="0.3">
      <c r="A69" s="1" t="s">
        <v>464</v>
      </c>
      <c r="B69" s="1" t="s">
        <v>83</v>
      </c>
      <c r="C69" s="1" t="s">
        <v>16</v>
      </c>
      <c r="D69" s="2">
        <v>4180</v>
      </c>
      <c r="E69" s="1" t="s">
        <v>704</v>
      </c>
      <c r="F69" s="3">
        <v>29603</v>
      </c>
      <c r="G69" s="1" t="s">
        <v>17</v>
      </c>
      <c r="H69" s="1" t="s">
        <v>349</v>
      </c>
      <c r="I69" s="3">
        <v>44103</v>
      </c>
      <c r="J69" s="3"/>
      <c r="K69" s="1" t="s">
        <v>361</v>
      </c>
      <c r="L69" s="1" t="s">
        <v>356</v>
      </c>
      <c r="M69" s="1" t="s">
        <v>700</v>
      </c>
      <c r="N69" s="1" t="s">
        <v>351</v>
      </c>
      <c r="O69" s="1" t="s">
        <v>364</v>
      </c>
      <c r="P69" s="1">
        <v>3.07</v>
      </c>
      <c r="Q69" s="1">
        <v>4</v>
      </c>
      <c r="R69" s="1">
        <v>0</v>
      </c>
      <c r="S69" s="3">
        <v>44166</v>
      </c>
      <c r="T69" s="7">
        <f t="shared" si="1"/>
        <v>3.2575342465753425</v>
      </c>
    </row>
    <row r="70" spans="1:20" x14ac:dyDescent="0.3">
      <c r="A70" s="1" t="s">
        <v>465</v>
      </c>
      <c r="B70" s="1" t="s">
        <v>84</v>
      </c>
      <c r="C70" s="1" t="s">
        <v>16</v>
      </c>
      <c r="D70" s="2">
        <v>4400</v>
      </c>
      <c r="E70" s="1" t="s">
        <v>704</v>
      </c>
      <c r="F70" s="3">
        <v>29850</v>
      </c>
      <c r="G70" s="1" t="s">
        <v>1</v>
      </c>
      <c r="H70" s="1" t="s">
        <v>349</v>
      </c>
      <c r="I70" s="3">
        <v>44649</v>
      </c>
      <c r="J70" s="3"/>
      <c r="K70" s="1" t="s">
        <v>361</v>
      </c>
      <c r="L70" s="1" t="s">
        <v>356</v>
      </c>
      <c r="M70" s="1" t="s">
        <v>700</v>
      </c>
      <c r="N70" s="1" t="s">
        <v>353</v>
      </c>
      <c r="O70" s="1" t="s">
        <v>364</v>
      </c>
      <c r="P70" s="1">
        <v>5</v>
      </c>
      <c r="Q70" s="1">
        <v>4</v>
      </c>
      <c r="R70" s="1">
        <v>0</v>
      </c>
      <c r="S70" s="3">
        <v>44166</v>
      </c>
      <c r="T70" s="7">
        <f t="shared" si="1"/>
        <v>1.7616438356164383</v>
      </c>
    </row>
    <row r="71" spans="1:20" x14ac:dyDescent="0.3">
      <c r="A71" s="1" t="s">
        <v>466</v>
      </c>
      <c r="B71" s="1" t="s">
        <v>85</v>
      </c>
      <c r="C71" s="1" t="s">
        <v>27</v>
      </c>
      <c r="D71" s="2">
        <v>4840</v>
      </c>
      <c r="E71" s="1" t="s">
        <v>704</v>
      </c>
      <c r="F71" s="3">
        <v>31008</v>
      </c>
      <c r="G71" s="1" t="s">
        <v>17</v>
      </c>
      <c r="H71" s="1" t="s">
        <v>349</v>
      </c>
      <c r="I71" s="3">
        <v>44243</v>
      </c>
      <c r="J71" s="3"/>
      <c r="K71" s="1" t="s">
        <v>361</v>
      </c>
      <c r="L71" s="1" t="s">
        <v>356</v>
      </c>
      <c r="M71" s="1" t="s">
        <v>700</v>
      </c>
      <c r="N71" s="1" t="s">
        <v>351</v>
      </c>
      <c r="O71" s="1" t="s">
        <v>365</v>
      </c>
      <c r="P71" s="1">
        <v>4.25</v>
      </c>
      <c r="Q71" s="1">
        <v>3</v>
      </c>
      <c r="R71" s="1">
        <v>0</v>
      </c>
      <c r="S71" s="3">
        <v>44166</v>
      </c>
      <c r="T71" s="7">
        <f t="shared" si="1"/>
        <v>2.8739726027397259</v>
      </c>
    </row>
    <row r="72" spans="1:20" x14ac:dyDescent="0.3">
      <c r="A72" s="1" t="s">
        <v>467</v>
      </c>
      <c r="B72" s="1">
        <v>1201431310</v>
      </c>
      <c r="C72" s="1" t="s">
        <v>16</v>
      </c>
      <c r="D72" s="2">
        <v>4180</v>
      </c>
      <c r="E72" s="1" t="s">
        <v>704</v>
      </c>
      <c r="F72" s="3">
        <v>31967</v>
      </c>
      <c r="G72" s="1" t="s">
        <v>17</v>
      </c>
      <c r="H72" s="1" t="s">
        <v>7</v>
      </c>
      <c r="I72" s="3">
        <v>44681</v>
      </c>
      <c r="J72" s="3"/>
      <c r="K72" s="1" t="s">
        <v>361</v>
      </c>
      <c r="L72" s="1" t="s">
        <v>356</v>
      </c>
      <c r="M72" s="1" t="s">
        <v>700</v>
      </c>
      <c r="N72" s="1" t="s">
        <v>701</v>
      </c>
      <c r="O72" s="1" t="s">
        <v>364</v>
      </c>
      <c r="P72" s="1">
        <v>4.3600000000000003</v>
      </c>
      <c r="Q72" s="1">
        <v>5</v>
      </c>
      <c r="R72" s="1">
        <v>0</v>
      </c>
      <c r="S72" s="3">
        <v>44166</v>
      </c>
      <c r="T72" s="7">
        <f t="shared" si="1"/>
        <v>1.6739726027397259</v>
      </c>
    </row>
    <row r="73" spans="1:20" x14ac:dyDescent="0.3">
      <c r="A73" s="1" t="s">
        <v>468</v>
      </c>
      <c r="B73" s="1" t="s">
        <v>86</v>
      </c>
      <c r="C73" s="1" t="s">
        <v>16</v>
      </c>
      <c r="D73" s="2">
        <v>4400</v>
      </c>
      <c r="E73" s="1" t="s">
        <v>704</v>
      </c>
      <c r="F73" s="3">
        <v>33027</v>
      </c>
      <c r="G73" s="1" t="s">
        <v>1</v>
      </c>
      <c r="H73" s="1" t="s">
        <v>349</v>
      </c>
      <c r="I73" s="3">
        <v>44687</v>
      </c>
      <c r="J73" s="3"/>
      <c r="K73" s="1" t="s">
        <v>361</v>
      </c>
      <c r="L73" s="1" t="s">
        <v>356</v>
      </c>
      <c r="M73" s="1" t="s">
        <v>700</v>
      </c>
      <c r="N73" s="1" t="s">
        <v>353</v>
      </c>
      <c r="O73" s="1" t="s">
        <v>364</v>
      </c>
      <c r="P73" s="1">
        <v>3.21</v>
      </c>
      <c r="Q73" s="1">
        <v>3</v>
      </c>
      <c r="R73" s="1">
        <v>0</v>
      </c>
      <c r="S73" s="3">
        <v>44166</v>
      </c>
      <c r="T73" s="7">
        <f t="shared" si="1"/>
        <v>1.6575342465753424</v>
      </c>
    </row>
    <row r="74" spans="1:20" x14ac:dyDescent="0.3">
      <c r="A74" s="1" t="s">
        <v>469</v>
      </c>
      <c r="B74" s="1" t="s">
        <v>87</v>
      </c>
      <c r="C74" s="1" t="s">
        <v>16</v>
      </c>
      <c r="D74" s="2">
        <v>4840</v>
      </c>
      <c r="E74" s="1" t="s">
        <v>704</v>
      </c>
      <c r="F74" s="3">
        <v>32377</v>
      </c>
      <c r="G74" s="1" t="s">
        <v>17</v>
      </c>
      <c r="H74" s="1" t="s">
        <v>349</v>
      </c>
      <c r="I74" s="3">
        <v>44049</v>
      </c>
      <c r="J74" s="3"/>
      <c r="K74" s="1" t="s">
        <v>361</v>
      </c>
      <c r="L74" s="1" t="s">
        <v>356</v>
      </c>
      <c r="M74" s="1" t="s">
        <v>700</v>
      </c>
      <c r="N74" s="1" t="s">
        <v>353</v>
      </c>
      <c r="O74" s="1" t="s">
        <v>364</v>
      </c>
      <c r="P74" s="1">
        <v>3.8</v>
      </c>
      <c r="Q74" s="1">
        <v>5</v>
      </c>
      <c r="R74" s="1">
        <v>0</v>
      </c>
      <c r="S74" s="3">
        <v>44166</v>
      </c>
      <c r="T74" s="7">
        <f t="shared" si="1"/>
        <v>3.4054794520547946</v>
      </c>
    </row>
    <row r="75" spans="1:20" x14ac:dyDescent="0.3">
      <c r="A75" s="1" t="s">
        <v>470</v>
      </c>
      <c r="B75" s="1" t="s">
        <v>88</v>
      </c>
      <c r="C75" s="1" t="s">
        <v>13</v>
      </c>
      <c r="D75" s="2">
        <v>4840</v>
      </c>
      <c r="E75" s="1" t="s">
        <v>704</v>
      </c>
      <c r="F75" s="3">
        <v>28824</v>
      </c>
      <c r="G75" s="1" t="s">
        <v>1</v>
      </c>
      <c r="H75" s="1" t="s">
        <v>7</v>
      </c>
      <c r="I75" s="3">
        <v>43431</v>
      </c>
      <c r="J75" s="3"/>
      <c r="K75" s="1" t="s">
        <v>361</v>
      </c>
      <c r="L75" s="1" t="s">
        <v>356</v>
      </c>
      <c r="M75" s="1" t="s">
        <v>700</v>
      </c>
      <c r="N75" s="1" t="s">
        <v>353</v>
      </c>
      <c r="O75" s="1" t="s">
        <v>366</v>
      </c>
      <c r="P75" s="1">
        <v>4.3600000000000003</v>
      </c>
      <c r="Q75" s="1">
        <v>5</v>
      </c>
      <c r="R75" s="1">
        <v>0</v>
      </c>
      <c r="S75" s="3">
        <v>44166</v>
      </c>
      <c r="T75" s="7">
        <f t="shared" si="1"/>
        <v>5.0986301369863014</v>
      </c>
    </row>
    <row r="76" spans="1:20" x14ac:dyDescent="0.3">
      <c r="A76" s="1" t="s">
        <v>471</v>
      </c>
      <c r="B76" s="1" t="s">
        <v>89</v>
      </c>
      <c r="C76" s="1" t="s">
        <v>13</v>
      </c>
      <c r="D76" s="2">
        <v>3520</v>
      </c>
      <c r="E76" s="1" t="s">
        <v>704</v>
      </c>
      <c r="F76" s="3">
        <v>27300</v>
      </c>
      <c r="G76" s="1" t="s">
        <v>17</v>
      </c>
      <c r="H76" s="1" t="s">
        <v>349</v>
      </c>
      <c r="I76" s="3">
        <v>43410</v>
      </c>
      <c r="J76" s="3"/>
      <c r="K76" s="1" t="s">
        <v>361</v>
      </c>
      <c r="L76" s="1" t="s">
        <v>356</v>
      </c>
      <c r="M76" s="1" t="s">
        <v>700</v>
      </c>
      <c r="N76" s="1" t="s">
        <v>352</v>
      </c>
      <c r="O76" s="1" t="s">
        <v>366</v>
      </c>
      <c r="P76" s="1">
        <v>1.83</v>
      </c>
      <c r="Q76" s="1">
        <v>4</v>
      </c>
      <c r="R76" s="1">
        <v>0</v>
      </c>
      <c r="S76" s="3">
        <v>44166</v>
      </c>
      <c r="T76" s="7">
        <f t="shared" si="1"/>
        <v>5.1561643835616442</v>
      </c>
    </row>
    <row r="77" spans="1:20" x14ac:dyDescent="0.3">
      <c r="A77" s="1" t="s">
        <v>472</v>
      </c>
      <c r="B77" s="1" t="s">
        <v>90</v>
      </c>
      <c r="C77" s="1" t="s">
        <v>13</v>
      </c>
      <c r="D77" s="2">
        <v>3300</v>
      </c>
      <c r="E77" s="1" t="s">
        <v>704</v>
      </c>
      <c r="F77" s="3">
        <v>26362</v>
      </c>
      <c r="G77" s="1" t="s">
        <v>1</v>
      </c>
      <c r="H77" s="1" t="s">
        <v>349</v>
      </c>
      <c r="I77" s="3">
        <v>43834</v>
      </c>
      <c r="J77" s="3"/>
      <c r="K77" s="1" t="s">
        <v>361</v>
      </c>
      <c r="L77" s="1" t="s">
        <v>356</v>
      </c>
      <c r="M77" s="1" t="s">
        <v>700</v>
      </c>
      <c r="N77" s="1" t="s">
        <v>352</v>
      </c>
      <c r="O77" s="1" t="s">
        <v>366</v>
      </c>
      <c r="P77" s="1">
        <v>1.1200000000000001</v>
      </c>
      <c r="Q77" s="1">
        <v>3.5</v>
      </c>
      <c r="R77" s="1">
        <v>0</v>
      </c>
      <c r="S77" s="3">
        <v>44166</v>
      </c>
      <c r="T77" s="7">
        <f t="shared" si="1"/>
        <v>3.9945205479452053</v>
      </c>
    </row>
    <row r="78" spans="1:20" x14ac:dyDescent="0.3">
      <c r="A78" s="1" t="s">
        <v>473</v>
      </c>
      <c r="B78" s="1" t="s">
        <v>91</v>
      </c>
      <c r="C78" s="1" t="s">
        <v>27</v>
      </c>
      <c r="D78" s="2">
        <v>4400</v>
      </c>
      <c r="E78" s="1" t="s">
        <v>704</v>
      </c>
      <c r="F78" s="3">
        <v>26820</v>
      </c>
      <c r="G78" s="1" t="s">
        <v>1</v>
      </c>
      <c r="H78" s="1" t="s">
        <v>349</v>
      </c>
      <c r="I78" s="3">
        <v>45023</v>
      </c>
      <c r="J78" s="3"/>
      <c r="K78" s="1" t="s">
        <v>361</v>
      </c>
      <c r="L78" s="1" t="s">
        <v>356</v>
      </c>
      <c r="M78" s="1" t="s">
        <v>700</v>
      </c>
      <c r="N78" s="1" t="s">
        <v>351</v>
      </c>
      <c r="O78" s="1" t="s">
        <v>365</v>
      </c>
      <c r="P78" s="1">
        <v>1.1200000000000001</v>
      </c>
      <c r="Q78" s="1">
        <v>4</v>
      </c>
      <c r="R78" s="1">
        <v>0</v>
      </c>
      <c r="S78" s="3">
        <v>44166</v>
      </c>
      <c r="T78" s="7">
        <f t="shared" si="1"/>
        <v>0.73698630136986298</v>
      </c>
    </row>
    <row r="79" spans="1:20" x14ac:dyDescent="0.3">
      <c r="A79" s="1" t="s">
        <v>474</v>
      </c>
      <c r="B79" s="1" t="s">
        <v>92</v>
      </c>
      <c r="C79" s="1" t="s">
        <v>16</v>
      </c>
      <c r="D79" s="2">
        <v>4840</v>
      </c>
      <c r="E79" s="1" t="s">
        <v>704</v>
      </c>
      <c r="F79" s="3">
        <v>27699</v>
      </c>
      <c r="G79" s="1" t="s">
        <v>1</v>
      </c>
      <c r="H79" s="1" t="s">
        <v>349</v>
      </c>
      <c r="I79" s="3">
        <v>42527</v>
      </c>
      <c r="J79" s="3"/>
      <c r="K79" s="1" t="s">
        <v>361</v>
      </c>
      <c r="L79" s="1" t="s">
        <v>356</v>
      </c>
      <c r="M79" s="1" t="s">
        <v>700</v>
      </c>
      <c r="N79" s="1" t="s">
        <v>352</v>
      </c>
      <c r="O79" s="1" t="s">
        <v>364</v>
      </c>
      <c r="P79" s="1">
        <v>4.46</v>
      </c>
      <c r="Q79" s="1">
        <v>3</v>
      </c>
      <c r="R79" s="1">
        <v>0</v>
      </c>
      <c r="S79" s="3">
        <v>44166</v>
      </c>
      <c r="T79" s="7">
        <f t="shared" si="1"/>
        <v>7.5753424657534243</v>
      </c>
    </row>
    <row r="80" spans="1:20" x14ac:dyDescent="0.3">
      <c r="A80" s="1" t="s">
        <v>475</v>
      </c>
      <c r="B80" s="1" t="s">
        <v>93</v>
      </c>
      <c r="C80" s="1" t="s">
        <v>16</v>
      </c>
      <c r="D80" s="2">
        <v>4400</v>
      </c>
      <c r="E80" s="1" t="s">
        <v>704</v>
      </c>
      <c r="F80" s="3">
        <v>29514</v>
      </c>
      <c r="G80" s="1" t="s">
        <v>1</v>
      </c>
      <c r="H80" s="1" t="s">
        <v>7</v>
      </c>
      <c r="I80" s="3">
        <v>44607</v>
      </c>
      <c r="J80" s="3"/>
      <c r="K80" s="1" t="s">
        <v>361</v>
      </c>
      <c r="L80" s="1" t="s">
        <v>356</v>
      </c>
      <c r="M80" s="1" t="s">
        <v>700</v>
      </c>
      <c r="N80" s="1" t="s">
        <v>353</v>
      </c>
      <c r="O80" s="1" t="s">
        <v>364</v>
      </c>
      <c r="P80" s="1">
        <v>5</v>
      </c>
      <c r="Q80" s="1">
        <v>3</v>
      </c>
      <c r="R80" s="1">
        <v>0</v>
      </c>
      <c r="S80" s="3">
        <v>44166</v>
      </c>
      <c r="T80" s="7">
        <f t="shared" si="1"/>
        <v>1.8767123287671232</v>
      </c>
    </row>
    <row r="81" spans="1:20" x14ac:dyDescent="0.3">
      <c r="A81" s="1" t="s">
        <v>476</v>
      </c>
      <c r="B81" s="1" t="s">
        <v>94</v>
      </c>
      <c r="C81" s="1" t="s">
        <v>16</v>
      </c>
      <c r="D81" s="2">
        <v>4620</v>
      </c>
      <c r="E81" s="1" t="s">
        <v>704</v>
      </c>
      <c r="F81" s="3">
        <v>30166</v>
      </c>
      <c r="G81" s="1" t="s">
        <v>17</v>
      </c>
      <c r="H81" s="1" t="s">
        <v>7</v>
      </c>
      <c r="I81" s="3">
        <v>44534</v>
      </c>
      <c r="J81" s="3"/>
      <c r="K81" s="1" t="s">
        <v>361</v>
      </c>
      <c r="L81" s="1" t="s">
        <v>356</v>
      </c>
      <c r="M81" s="1" t="s">
        <v>700</v>
      </c>
      <c r="N81" s="1" t="s">
        <v>352</v>
      </c>
      <c r="O81" s="1" t="s">
        <v>364</v>
      </c>
      <c r="P81" s="1">
        <v>5</v>
      </c>
      <c r="Q81" s="1">
        <v>5</v>
      </c>
      <c r="R81" s="1">
        <v>0</v>
      </c>
      <c r="S81" s="3">
        <v>44166</v>
      </c>
      <c r="T81" s="7">
        <f t="shared" si="1"/>
        <v>2.0767123287671234</v>
      </c>
    </row>
    <row r="82" spans="1:20" x14ac:dyDescent="0.3">
      <c r="A82" s="1" t="s">
        <v>477</v>
      </c>
      <c r="B82" s="1" t="s">
        <v>95</v>
      </c>
      <c r="C82" s="1" t="s">
        <v>16</v>
      </c>
      <c r="D82" s="2">
        <v>4400</v>
      </c>
      <c r="E82" s="1" t="s">
        <v>704</v>
      </c>
      <c r="F82" s="3">
        <v>27331</v>
      </c>
      <c r="G82" s="1" t="s">
        <v>1</v>
      </c>
      <c r="H82" s="1" t="s">
        <v>349</v>
      </c>
      <c r="I82" s="3">
        <v>44145</v>
      </c>
      <c r="J82" s="3"/>
      <c r="K82" s="1" t="s">
        <v>361</v>
      </c>
      <c r="L82" s="1" t="s">
        <v>356</v>
      </c>
      <c r="M82" s="1" t="s">
        <v>700</v>
      </c>
      <c r="N82" s="1" t="s">
        <v>352</v>
      </c>
      <c r="O82" s="1" t="s">
        <v>364</v>
      </c>
      <c r="P82" s="1">
        <v>2.83</v>
      </c>
      <c r="Q82" s="1">
        <v>5</v>
      </c>
      <c r="R82" s="1">
        <v>0</v>
      </c>
      <c r="S82" s="3">
        <v>44166</v>
      </c>
      <c r="T82" s="7">
        <f t="shared" si="1"/>
        <v>3.1424657534246574</v>
      </c>
    </row>
    <row r="83" spans="1:20" x14ac:dyDescent="0.3">
      <c r="A83" s="1" t="s">
        <v>478</v>
      </c>
      <c r="B83" s="1" t="s">
        <v>96</v>
      </c>
      <c r="C83" s="1" t="s">
        <v>16</v>
      </c>
      <c r="D83" s="2">
        <v>5280</v>
      </c>
      <c r="E83" s="1" t="s">
        <v>704</v>
      </c>
      <c r="F83" s="3">
        <v>29107</v>
      </c>
      <c r="G83" s="1" t="s">
        <v>1</v>
      </c>
      <c r="H83" s="1" t="s">
        <v>7</v>
      </c>
      <c r="I83" s="3">
        <v>44061</v>
      </c>
      <c r="J83" s="3"/>
      <c r="K83" s="1" t="s">
        <v>361</v>
      </c>
      <c r="L83" s="1" t="s">
        <v>356</v>
      </c>
      <c r="M83" s="1" t="s">
        <v>700</v>
      </c>
      <c r="N83" s="1" t="s">
        <v>352</v>
      </c>
      <c r="O83" s="1" t="s">
        <v>364</v>
      </c>
      <c r="P83" s="1">
        <v>1.71</v>
      </c>
      <c r="Q83" s="1">
        <v>5</v>
      </c>
      <c r="R83" s="1">
        <v>0</v>
      </c>
      <c r="S83" s="3">
        <v>44166</v>
      </c>
      <c r="T83" s="7">
        <f t="shared" si="1"/>
        <v>3.3726027397260272</v>
      </c>
    </row>
    <row r="84" spans="1:20" x14ac:dyDescent="0.3">
      <c r="A84" s="1" t="s">
        <v>479</v>
      </c>
      <c r="B84" s="1" t="s">
        <v>97</v>
      </c>
      <c r="C84" s="1" t="s">
        <v>16</v>
      </c>
      <c r="D84" s="2">
        <v>3740</v>
      </c>
      <c r="E84" s="1" t="s">
        <v>704</v>
      </c>
      <c r="F84" s="3">
        <v>30835</v>
      </c>
      <c r="G84" s="1" t="s">
        <v>17</v>
      </c>
      <c r="H84" s="1" t="s">
        <v>349</v>
      </c>
      <c r="I84" s="3">
        <v>44049</v>
      </c>
      <c r="J84" s="3"/>
      <c r="K84" s="1" t="s">
        <v>361</v>
      </c>
      <c r="L84" s="1" t="s">
        <v>356</v>
      </c>
      <c r="M84" s="1" t="s">
        <v>700</v>
      </c>
      <c r="N84" s="1" t="s">
        <v>351</v>
      </c>
      <c r="O84" s="1" t="s">
        <v>364</v>
      </c>
      <c r="P84" s="1">
        <v>1.0900000000000001</v>
      </c>
      <c r="Q84" s="1">
        <v>4</v>
      </c>
      <c r="R84" s="1">
        <v>0</v>
      </c>
      <c r="S84" s="3">
        <v>44166</v>
      </c>
      <c r="T84" s="7">
        <f t="shared" si="1"/>
        <v>3.4054794520547946</v>
      </c>
    </row>
    <row r="85" spans="1:20" x14ac:dyDescent="0.3">
      <c r="A85" s="1" t="s">
        <v>480</v>
      </c>
      <c r="B85" s="1" t="s">
        <v>98</v>
      </c>
      <c r="C85" s="1" t="s">
        <v>16</v>
      </c>
      <c r="D85" s="2">
        <v>3344</v>
      </c>
      <c r="E85" s="1" t="s">
        <v>704</v>
      </c>
      <c r="F85" s="3">
        <v>29495</v>
      </c>
      <c r="G85" s="1" t="s">
        <v>1</v>
      </c>
      <c r="H85" s="1" t="s">
        <v>349</v>
      </c>
      <c r="I85" s="3">
        <v>44103</v>
      </c>
      <c r="J85" s="3"/>
      <c r="K85" s="1" t="s">
        <v>361</v>
      </c>
      <c r="L85" s="1" t="s">
        <v>356</v>
      </c>
      <c r="M85" s="1" t="s">
        <v>700</v>
      </c>
      <c r="N85" s="1" t="s">
        <v>353</v>
      </c>
      <c r="O85" s="1" t="s">
        <v>364</v>
      </c>
      <c r="P85" s="1">
        <v>5</v>
      </c>
      <c r="Q85" s="1">
        <v>5</v>
      </c>
      <c r="R85" s="1">
        <v>0</v>
      </c>
      <c r="S85" s="3">
        <v>44166</v>
      </c>
      <c r="T85" s="7">
        <f t="shared" si="1"/>
        <v>3.2575342465753425</v>
      </c>
    </row>
    <row r="86" spans="1:20" x14ac:dyDescent="0.3">
      <c r="A86" s="1" t="s">
        <v>481</v>
      </c>
      <c r="B86" s="1" t="s">
        <v>99</v>
      </c>
      <c r="C86" s="1" t="s">
        <v>16</v>
      </c>
      <c r="D86" s="2">
        <v>5400</v>
      </c>
      <c r="E86" s="1" t="s">
        <v>324</v>
      </c>
      <c r="F86" s="3">
        <v>24971</v>
      </c>
      <c r="G86" s="1" t="s">
        <v>1</v>
      </c>
      <c r="H86" s="1" t="s">
        <v>349</v>
      </c>
      <c r="I86" s="3">
        <v>44425</v>
      </c>
      <c r="J86" s="3"/>
      <c r="K86" s="1" t="s">
        <v>361</v>
      </c>
      <c r="L86" s="1" t="s">
        <v>356</v>
      </c>
      <c r="M86" s="1" t="s">
        <v>350</v>
      </c>
      <c r="N86" s="1" t="s">
        <v>351</v>
      </c>
      <c r="O86" s="1" t="s">
        <v>364</v>
      </c>
      <c r="P86" s="1">
        <v>5</v>
      </c>
      <c r="Q86" s="1">
        <v>5</v>
      </c>
      <c r="R86" s="1">
        <v>0</v>
      </c>
      <c r="S86" s="3">
        <v>44166</v>
      </c>
      <c r="T86" s="7">
        <f t="shared" si="1"/>
        <v>2.3753424657534246</v>
      </c>
    </row>
    <row r="87" spans="1:20" x14ac:dyDescent="0.3">
      <c r="A87" s="1" t="s">
        <v>482</v>
      </c>
      <c r="B87" s="1" t="s">
        <v>100</v>
      </c>
      <c r="C87" s="1" t="s">
        <v>19</v>
      </c>
      <c r="D87" s="2">
        <v>5400</v>
      </c>
      <c r="E87" s="1" t="s">
        <v>324</v>
      </c>
      <c r="F87" s="3">
        <v>33736</v>
      </c>
      <c r="G87" s="1" t="s">
        <v>1</v>
      </c>
      <c r="H87" s="1" t="s">
        <v>349</v>
      </c>
      <c r="I87" s="3">
        <v>43515</v>
      </c>
      <c r="J87" s="3"/>
      <c r="K87" s="1" t="s">
        <v>361</v>
      </c>
      <c r="L87" s="1" t="s">
        <v>356</v>
      </c>
      <c r="M87" s="1" t="s">
        <v>350</v>
      </c>
      <c r="N87" s="1" t="s">
        <v>351</v>
      </c>
      <c r="O87" s="1" t="s">
        <v>365</v>
      </c>
      <c r="P87" s="1">
        <v>2.2999999999999998</v>
      </c>
      <c r="Q87" s="1">
        <v>1</v>
      </c>
      <c r="R87" s="1">
        <v>0</v>
      </c>
      <c r="S87" s="3">
        <v>44166</v>
      </c>
      <c r="T87" s="7">
        <f t="shared" si="1"/>
        <v>4.8684931506849312</v>
      </c>
    </row>
    <row r="88" spans="1:20" x14ac:dyDescent="0.3">
      <c r="A88" s="1" t="s">
        <v>483</v>
      </c>
      <c r="B88" s="1" t="s">
        <v>101</v>
      </c>
      <c r="C88" s="1" t="s">
        <v>16</v>
      </c>
      <c r="D88" s="2">
        <v>4250</v>
      </c>
      <c r="E88" s="1" t="s">
        <v>324</v>
      </c>
      <c r="F88" s="3">
        <v>34225</v>
      </c>
      <c r="G88" s="1" t="s">
        <v>17</v>
      </c>
      <c r="H88" s="1" t="s">
        <v>7</v>
      </c>
      <c r="I88" s="3">
        <v>44425</v>
      </c>
      <c r="J88" s="3"/>
      <c r="K88" s="1" t="s">
        <v>361</v>
      </c>
      <c r="L88" s="1" t="s">
        <v>356</v>
      </c>
      <c r="M88" s="1" t="s">
        <v>350</v>
      </c>
      <c r="N88" s="1" t="s">
        <v>353</v>
      </c>
      <c r="O88" s="1" t="s">
        <v>364</v>
      </c>
      <c r="P88" s="1">
        <v>3.6</v>
      </c>
      <c r="Q88" s="1">
        <v>5</v>
      </c>
      <c r="R88" s="1">
        <v>0</v>
      </c>
      <c r="S88" s="3">
        <v>44166</v>
      </c>
      <c r="T88" s="7">
        <f t="shared" si="1"/>
        <v>2.3753424657534246</v>
      </c>
    </row>
    <row r="89" spans="1:20" x14ac:dyDescent="0.3">
      <c r="A89" s="1" t="s">
        <v>484</v>
      </c>
      <c r="B89" s="1" t="s">
        <v>102</v>
      </c>
      <c r="C89" s="1" t="s">
        <v>16</v>
      </c>
      <c r="D89" s="2">
        <v>4250</v>
      </c>
      <c r="E89" s="1" t="s">
        <v>324</v>
      </c>
      <c r="F89" s="3">
        <v>27083</v>
      </c>
      <c r="G89" s="1" t="s">
        <v>17</v>
      </c>
      <c r="H89" s="1" t="s">
        <v>349</v>
      </c>
      <c r="I89" s="3">
        <v>43283</v>
      </c>
      <c r="J89" s="3"/>
      <c r="K89" s="1" t="s">
        <v>361</v>
      </c>
      <c r="L89" s="1" t="s">
        <v>356</v>
      </c>
      <c r="M89" s="1" t="s">
        <v>350</v>
      </c>
      <c r="N89" s="1" t="s">
        <v>352</v>
      </c>
      <c r="O89" s="1" t="s">
        <v>364</v>
      </c>
      <c r="P89" s="1">
        <v>3.65</v>
      </c>
      <c r="Q89" s="1">
        <v>5</v>
      </c>
      <c r="R89" s="1">
        <v>0</v>
      </c>
      <c r="S89" s="3">
        <v>44166</v>
      </c>
      <c r="T89" s="7">
        <f t="shared" si="1"/>
        <v>5.5041095890410956</v>
      </c>
    </row>
    <row r="90" spans="1:20" x14ac:dyDescent="0.3">
      <c r="A90" s="1" t="s">
        <v>485</v>
      </c>
      <c r="B90" s="1" t="s">
        <v>103</v>
      </c>
      <c r="C90" s="1" t="s">
        <v>16</v>
      </c>
      <c r="D90" s="2">
        <v>5400</v>
      </c>
      <c r="E90" s="1" t="s">
        <v>324</v>
      </c>
      <c r="F90" s="3">
        <v>21893</v>
      </c>
      <c r="G90" s="1" t="s">
        <v>17</v>
      </c>
      <c r="H90" s="1" t="s">
        <v>7</v>
      </c>
      <c r="I90" s="3">
        <v>44534</v>
      </c>
      <c r="J90" s="3"/>
      <c r="K90" s="1" t="s">
        <v>361</v>
      </c>
      <c r="L90" s="1" t="s">
        <v>356</v>
      </c>
      <c r="M90" s="1" t="s">
        <v>350</v>
      </c>
      <c r="N90" s="1" t="s">
        <v>353</v>
      </c>
      <c r="O90" s="1" t="s">
        <v>364</v>
      </c>
      <c r="P90" s="1">
        <v>3.98</v>
      </c>
      <c r="Q90" s="1">
        <v>3</v>
      </c>
      <c r="R90" s="1">
        <v>0</v>
      </c>
      <c r="S90" s="3">
        <v>44166</v>
      </c>
      <c r="T90" s="7">
        <f t="shared" si="1"/>
        <v>2.0767123287671234</v>
      </c>
    </row>
    <row r="91" spans="1:20" x14ac:dyDescent="0.3">
      <c r="A91" s="1" t="s">
        <v>486</v>
      </c>
      <c r="B91" s="1" t="s">
        <v>104</v>
      </c>
      <c r="C91" s="1" t="s">
        <v>16</v>
      </c>
      <c r="D91" s="2">
        <v>5400</v>
      </c>
      <c r="E91" s="1" t="s">
        <v>324</v>
      </c>
      <c r="F91" s="3">
        <v>34329</v>
      </c>
      <c r="G91" s="1" t="s">
        <v>17</v>
      </c>
      <c r="H91" s="1" t="s">
        <v>349</v>
      </c>
      <c r="I91" s="3">
        <v>43585</v>
      </c>
      <c r="J91" s="3"/>
      <c r="K91" s="1" t="s">
        <v>361</v>
      </c>
      <c r="L91" s="1" t="s">
        <v>356</v>
      </c>
      <c r="M91" s="1" t="s">
        <v>350</v>
      </c>
      <c r="N91" s="1" t="s">
        <v>353</v>
      </c>
      <c r="O91" s="1" t="s">
        <v>364</v>
      </c>
      <c r="P91" s="1">
        <v>4.53</v>
      </c>
      <c r="Q91" s="1">
        <v>3</v>
      </c>
      <c r="R91" s="1">
        <v>0</v>
      </c>
      <c r="S91" s="3">
        <v>44166</v>
      </c>
      <c r="T91" s="7">
        <f t="shared" si="1"/>
        <v>4.6767123287671231</v>
      </c>
    </row>
    <row r="92" spans="1:20" x14ac:dyDescent="0.3">
      <c r="A92" s="1" t="s">
        <v>487</v>
      </c>
      <c r="B92" s="1" t="s">
        <v>105</v>
      </c>
      <c r="C92" s="1" t="s">
        <v>19</v>
      </c>
      <c r="D92" s="2">
        <v>5500</v>
      </c>
      <c r="E92" s="1" t="s">
        <v>324</v>
      </c>
      <c r="F92" s="3">
        <v>29261</v>
      </c>
      <c r="G92" s="1" t="s">
        <v>17</v>
      </c>
      <c r="H92" s="1" t="s">
        <v>349</v>
      </c>
      <c r="I92" s="3">
        <v>44467</v>
      </c>
      <c r="J92" s="3"/>
      <c r="K92" s="1" t="s">
        <v>361</v>
      </c>
      <c r="L92" s="1" t="s">
        <v>356</v>
      </c>
      <c r="M92" s="1" t="s">
        <v>350</v>
      </c>
      <c r="N92" s="1" t="s">
        <v>351</v>
      </c>
      <c r="O92" s="1" t="s">
        <v>365</v>
      </c>
      <c r="P92" s="1">
        <v>1.93</v>
      </c>
      <c r="Q92" s="1">
        <v>3</v>
      </c>
      <c r="R92" s="1">
        <v>0</v>
      </c>
      <c r="S92" s="3">
        <v>44166</v>
      </c>
      <c r="T92" s="7">
        <f t="shared" si="1"/>
        <v>2.2602739726027399</v>
      </c>
    </row>
    <row r="93" spans="1:20" x14ac:dyDescent="0.3">
      <c r="A93" s="1" t="s">
        <v>488</v>
      </c>
      <c r="B93" s="1">
        <v>812015761</v>
      </c>
      <c r="C93" s="1" t="s">
        <v>16</v>
      </c>
      <c r="D93" s="2">
        <v>5400</v>
      </c>
      <c r="E93" s="1" t="s">
        <v>324</v>
      </c>
      <c r="F93" s="3">
        <v>31915</v>
      </c>
      <c r="G93" s="1" t="s">
        <v>17</v>
      </c>
      <c r="H93" s="1" t="s">
        <v>349</v>
      </c>
      <c r="I93" s="3">
        <v>44681</v>
      </c>
      <c r="J93" s="3"/>
      <c r="K93" s="1" t="s">
        <v>361</v>
      </c>
      <c r="L93" s="1" t="s">
        <v>356</v>
      </c>
      <c r="M93" s="1" t="s">
        <v>350</v>
      </c>
      <c r="N93" s="1" t="s">
        <v>353</v>
      </c>
      <c r="O93" s="1" t="s">
        <v>364</v>
      </c>
      <c r="P93" s="1">
        <v>5</v>
      </c>
      <c r="Q93" s="1">
        <v>5</v>
      </c>
      <c r="R93" s="1">
        <v>0</v>
      </c>
      <c r="S93" s="3">
        <v>44166</v>
      </c>
      <c r="T93" s="7">
        <f t="shared" si="1"/>
        <v>1.6739726027397259</v>
      </c>
    </row>
    <row r="94" spans="1:20" x14ac:dyDescent="0.3">
      <c r="A94" s="1" t="s">
        <v>489</v>
      </c>
      <c r="B94" s="1" t="s">
        <v>106</v>
      </c>
      <c r="C94" s="1" t="s">
        <v>16</v>
      </c>
      <c r="D94" s="2">
        <v>5350</v>
      </c>
      <c r="E94" s="1" t="s">
        <v>324</v>
      </c>
      <c r="F94" s="3">
        <v>34672</v>
      </c>
      <c r="G94" s="1" t="s">
        <v>1</v>
      </c>
      <c r="H94" s="1" t="s">
        <v>7</v>
      </c>
      <c r="I94" s="3">
        <v>43004</v>
      </c>
      <c r="J94" s="3"/>
      <c r="K94" s="1" t="s">
        <v>361</v>
      </c>
      <c r="L94" s="1" t="s">
        <v>356</v>
      </c>
      <c r="M94" s="1" t="s">
        <v>350</v>
      </c>
      <c r="N94" s="1" t="s">
        <v>352</v>
      </c>
      <c r="O94" s="1" t="s">
        <v>364</v>
      </c>
      <c r="P94" s="1">
        <v>2</v>
      </c>
      <c r="Q94" s="1">
        <v>4</v>
      </c>
      <c r="R94" s="1">
        <v>0</v>
      </c>
      <c r="S94" s="3">
        <v>44166</v>
      </c>
      <c r="T94" s="7">
        <f t="shared" si="1"/>
        <v>6.2684931506849315</v>
      </c>
    </row>
    <row r="95" spans="1:20" x14ac:dyDescent="0.3">
      <c r="A95" s="1" t="s">
        <v>490</v>
      </c>
      <c r="B95" s="1" t="s">
        <v>107</v>
      </c>
      <c r="C95" s="1" t="s">
        <v>16</v>
      </c>
      <c r="D95" s="2">
        <v>7500</v>
      </c>
      <c r="E95" s="1" t="s">
        <v>325</v>
      </c>
      <c r="F95" s="3">
        <v>35206</v>
      </c>
      <c r="G95" s="1" t="s">
        <v>1</v>
      </c>
      <c r="H95" s="1" t="s">
        <v>7</v>
      </c>
      <c r="I95" s="3">
        <v>43226</v>
      </c>
      <c r="J95" s="3"/>
      <c r="K95" s="1" t="s">
        <v>361</v>
      </c>
      <c r="L95" s="1" t="s">
        <v>356</v>
      </c>
      <c r="M95" s="1" t="s">
        <v>350</v>
      </c>
      <c r="N95" s="1" t="s">
        <v>352</v>
      </c>
      <c r="O95" s="1" t="s">
        <v>364</v>
      </c>
      <c r="P95" s="1">
        <v>2.81</v>
      </c>
      <c r="Q95" s="1">
        <v>3</v>
      </c>
      <c r="R95" s="1">
        <v>0</v>
      </c>
      <c r="S95" s="3">
        <v>44166</v>
      </c>
      <c r="T95" s="7">
        <f t="shared" si="1"/>
        <v>5.6602739726027398</v>
      </c>
    </row>
    <row r="96" spans="1:20" x14ac:dyDescent="0.3">
      <c r="A96" s="1" t="s">
        <v>491</v>
      </c>
      <c r="B96" s="1" t="s">
        <v>108</v>
      </c>
      <c r="C96" s="1" t="s">
        <v>16</v>
      </c>
      <c r="D96" s="2">
        <v>7500</v>
      </c>
      <c r="E96" s="1" t="s">
        <v>325</v>
      </c>
      <c r="F96" s="3">
        <v>34644</v>
      </c>
      <c r="G96" s="1" t="s">
        <v>17</v>
      </c>
      <c r="H96" s="1" t="s">
        <v>349</v>
      </c>
      <c r="I96" s="3">
        <v>43588</v>
      </c>
      <c r="J96" s="3"/>
      <c r="K96" s="1" t="s">
        <v>361</v>
      </c>
      <c r="L96" s="1" t="s">
        <v>356</v>
      </c>
      <c r="M96" s="1" t="s">
        <v>350</v>
      </c>
      <c r="N96" s="1" t="s">
        <v>353</v>
      </c>
      <c r="O96" s="1" t="s">
        <v>364</v>
      </c>
      <c r="P96" s="1">
        <v>1.77</v>
      </c>
      <c r="Q96" s="1">
        <v>4</v>
      </c>
      <c r="R96" s="1">
        <v>0</v>
      </c>
      <c r="S96" s="3">
        <v>44166</v>
      </c>
      <c r="T96" s="7">
        <f t="shared" si="1"/>
        <v>4.6684931506849319</v>
      </c>
    </row>
    <row r="97" spans="1:20" x14ac:dyDescent="0.3">
      <c r="A97" s="1" t="s">
        <v>492</v>
      </c>
      <c r="B97" s="1" t="s">
        <v>109</v>
      </c>
      <c r="C97" s="1" t="s">
        <v>16</v>
      </c>
      <c r="D97" s="2">
        <v>7500</v>
      </c>
      <c r="E97" s="1" t="s">
        <v>325</v>
      </c>
      <c r="F97" s="3">
        <v>29407</v>
      </c>
      <c r="G97" s="1" t="s">
        <v>17</v>
      </c>
      <c r="H97" s="1" t="s">
        <v>7</v>
      </c>
      <c r="I97" s="3">
        <v>44467</v>
      </c>
      <c r="J97" s="3"/>
      <c r="K97" s="1" t="s">
        <v>361</v>
      </c>
      <c r="L97" s="1" t="s">
        <v>356</v>
      </c>
      <c r="M97" s="1" t="s">
        <v>350</v>
      </c>
      <c r="N97" s="1" t="s">
        <v>701</v>
      </c>
      <c r="O97" s="1" t="s">
        <v>364</v>
      </c>
      <c r="P97" s="1">
        <v>3.31</v>
      </c>
      <c r="Q97" s="1">
        <v>5</v>
      </c>
      <c r="R97" s="1">
        <v>0</v>
      </c>
      <c r="S97" s="3">
        <v>44166</v>
      </c>
      <c r="T97" s="7">
        <f t="shared" si="1"/>
        <v>2.2602739726027399</v>
      </c>
    </row>
    <row r="98" spans="1:20" x14ac:dyDescent="0.3">
      <c r="A98" s="1" t="s">
        <v>493</v>
      </c>
      <c r="B98" s="1" t="s">
        <v>110</v>
      </c>
      <c r="C98" s="1" t="s">
        <v>13</v>
      </c>
      <c r="D98" s="2">
        <v>8600</v>
      </c>
      <c r="E98" s="1" t="s">
        <v>325</v>
      </c>
      <c r="F98" s="3">
        <v>34191</v>
      </c>
      <c r="G98" s="1" t="s">
        <v>1</v>
      </c>
      <c r="H98" s="1" t="s">
        <v>349</v>
      </c>
      <c r="I98" s="3">
        <v>43373</v>
      </c>
      <c r="J98" s="3"/>
      <c r="K98" s="1" t="s">
        <v>361</v>
      </c>
      <c r="L98" s="1" t="s">
        <v>356</v>
      </c>
      <c r="M98" s="1" t="s">
        <v>350</v>
      </c>
      <c r="N98" s="1" t="s">
        <v>352</v>
      </c>
      <c r="O98" s="1" t="s">
        <v>366</v>
      </c>
      <c r="P98" s="1">
        <v>4.7699999999999996</v>
      </c>
      <c r="Q98" s="1">
        <v>5</v>
      </c>
      <c r="R98" s="1">
        <v>0</v>
      </c>
      <c r="S98" s="3">
        <v>44166</v>
      </c>
      <c r="T98" s="7">
        <f t="shared" si="1"/>
        <v>5.2575342465753421</v>
      </c>
    </row>
    <row r="99" spans="1:20" x14ac:dyDescent="0.3">
      <c r="A99" s="1" t="s">
        <v>494</v>
      </c>
      <c r="B99" s="1" t="s">
        <v>111</v>
      </c>
      <c r="C99" s="1" t="s">
        <v>16</v>
      </c>
      <c r="D99" s="2">
        <v>8600</v>
      </c>
      <c r="E99" s="1" t="s">
        <v>325</v>
      </c>
      <c r="F99" s="3">
        <v>25076</v>
      </c>
      <c r="G99" s="1" t="s">
        <v>17</v>
      </c>
      <c r="H99" s="1" t="s">
        <v>349</v>
      </c>
      <c r="I99" s="3">
        <v>43259</v>
      </c>
      <c r="J99" s="3"/>
      <c r="K99" s="1" t="s">
        <v>361</v>
      </c>
      <c r="L99" s="1" t="s">
        <v>356</v>
      </c>
      <c r="M99" s="1" t="s">
        <v>350</v>
      </c>
      <c r="N99" s="1" t="s">
        <v>353</v>
      </c>
      <c r="O99" s="1" t="s">
        <v>364</v>
      </c>
      <c r="P99" s="1">
        <v>1.64</v>
      </c>
      <c r="Q99" s="1">
        <v>3</v>
      </c>
      <c r="R99" s="1">
        <v>0</v>
      </c>
      <c r="S99" s="3">
        <v>44166</v>
      </c>
      <c r="T99" s="7">
        <f t="shared" si="1"/>
        <v>5.5698630136986305</v>
      </c>
    </row>
    <row r="100" spans="1:20" x14ac:dyDescent="0.3">
      <c r="A100" s="1" t="s">
        <v>495</v>
      </c>
      <c r="B100" s="1" t="s">
        <v>112</v>
      </c>
      <c r="C100" s="1" t="s">
        <v>16</v>
      </c>
      <c r="D100" s="2">
        <v>8600</v>
      </c>
      <c r="E100" s="1" t="s">
        <v>325</v>
      </c>
      <c r="F100" s="3">
        <v>34598</v>
      </c>
      <c r="G100" s="1" t="s">
        <v>1</v>
      </c>
      <c r="H100" s="1" t="s">
        <v>349</v>
      </c>
      <c r="I100" s="3">
        <v>44607</v>
      </c>
      <c r="J100" s="3"/>
      <c r="K100" s="1" t="s">
        <v>361</v>
      </c>
      <c r="L100" s="1" t="s">
        <v>356</v>
      </c>
      <c r="M100" s="1" t="s">
        <v>350</v>
      </c>
      <c r="N100" s="1" t="s">
        <v>353</v>
      </c>
      <c r="O100" s="1" t="s">
        <v>364</v>
      </c>
      <c r="P100" s="1">
        <v>1.72</v>
      </c>
      <c r="Q100" s="1">
        <v>5</v>
      </c>
      <c r="R100" s="1">
        <v>0</v>
      </c>
      <c r="S100" s="3">
        <v>44166</v>
      </c>
      <c r="T100" s="7">
        <f t="shared" si="1"/>
        <v>1.8767123287671232</v>
      </c>
    </row>
    <row r="101" spans="1:20" x14ac:dyDescent="0.3">
      <c r="A101" s="1" t="s">
        <v>496</v>
      </c>
      <c r="B101" s="1" t="s">
        <v>113</v>
      </c>
      <c r="C101" s="1" t="s">
        <v>19</v>
      </c>
      <c r="D101" s="2">
        <v>8600</v>
      </c>
      <c r="E101" s="1" t="s">
        <v>325</v>
      </c>
      <c r="F101" s="3">
        <v>29102</v>
      </c>
      <c r="G101" s="1" t="s">
        <v>17</v>
      </c>
      <c r="H101" s="1" t="s">
        <v>7</v>
      </c>
      <c r="I101" s="3">
        <v>44534</v>
      </c>
      <c r="J101" s="3"/>
      <c r="K101" s="1" t="s">
        <v>361</v>
      </c>
      <c r="L101" s="1" t="s">
        <v>356</v>
      </c>
      <c r="M101" s="1" t="s">
        <v>350</v>
      </c>
      <c r="N101" s="1" t="s">
        <v>351</v>
      </c>
      <c r="O101" s="1" t="s">
        <v>365</v>
      </c>
      <c r="P101" s="1">
        <v>1.81</v>
      </c>
      <c r="Q101" s="1">
        <v>2</v>
      </c>
      <c r="R101" s="1">
        <v>0</v>
      </c>
      <c r="S101" s="3">
        <v>44166</v>
      </c>
      <c r="T101" s="7">
        <f t="shared" si="1"/>
        <v>2.0767123287671234</v>
      </c>
    </row>
    <row r="102" spans="1:20" x14ac:dyDescent="0.3">
      <c r="A102" s="1" t="s">
        <v>497</v>
      </c>
      <c r="B102" s="1" t="s">
        <v>114</v>
      </c>
      <c r="C102" s="1" t="s">
        <v>16</v>
      </c>
      <c r="D102" s="2">
        <v>8000</v>
      </c>
      <c r="E102" s="1" t="s">
        <v>325</v>
      </c>
      <c r="F102" s="3">
        <v>31011</v>
      </c>
      <c r="G102" s="1" t="s">
        <v>17</v>
      </c>
      <c r="H102" s="1" t="s">
        <v>349</v>
      </c>
      <c r="I102" s="3">
        <v>44061</v>
      </c>
      <c r="J102" s="3"/>
      <c r="K102" s="1" t="s">
        <v>361</v>
      </c>
      <c r="L102" s="1" t="s">
        <v>356</v>
      </c>
      <c r="M102" s="1" t="s">
        <v>350</v>
      </c>
      <c r="N102" s="1" t="s">
        <v>353</v>
      </c>
      <c r="O102" s="1" t="s">
        <v>364</v>
      </c>
      <c r="P102" s="1">
        <v>2.19</v>
      </c>
      <c r="Q102" s="1">
        <v>5</v>
      </c>
      <c r="R102" s="1">
        <v>0</v>
      </c>
      <c r="S102" s="3">
        <v>44166</v>
      </c>
      <c r="T102" s="7">
        <f t="shared" si="1"/>
        <v>3.3726027397260272</v>
      </c>
    </row>
    <row r="103" spans="1:20" x14ac:dyDescent="0.3">
      <c r="A103" s="1" t="s">
        <v>498</v>
      </c>
      <c r="B103" s="1" t="s">
        <v>115</v>
      </c>
      <c r="C103" s="1" t="s">
        <v>16</v>
      </c>
      <c r="D103" s="2">
        <v>8600</v>
      </c>
      <c r="E103" s="1" t="s">
        <v>325</v>
      </c>
      <c r="F103" s="3">
        <v>27703</v>
      </c>
      <c r="G103" s="1" t="s">
        <v>17</v>
      </c>
      <c r="H103" s="1" t="s">
        <v>349</v>
      </c>
      <c r="I103" s="3">
        <v>43599</v>
      </c>
      <c r="J103" s="3"/>
      <c r="K103" s="1" t="s">
        <v>361</v>
      </c>
      <c r="L103" s="1" t="s">
        <v>356</v>
      </c>
      <c r="M103" s="1" t="s">
        <v>350</v>
      </c>
      <c r="N103" s="1" t="s">
        <v>701</v>
      </c>
      <c r="O103" s="1" t="s">
        <v>364</v>
      </c>
      <c r="P103" s="1">
        <v>2.94</v>
      </c>
      <c r="Q103" s="1">
        <v>5</v>
      </c>
      <c r="R103" s="1">
        <v>0</v>
      </c>
      <c r="S103" s="3">
        <v>44166</v>
      </c>
      <c r="T103" s="7">
        <f t="shared" si="1"/>
        <v>4.6383561643835618</v>
      </c>
    </row>
    <row r="104" spans="1:20" x14ac:dyDescent="0.3">
      <c r="A104" s="1" t="s">
        <v>499</v>
      </c>
      <c r="B104" s="1" t="s">
        <v>116</v>
      </c>
      <c r="C104" s="1" t="s">
        <v>16</v>
      </c>
      <c r="D104" s="2">
        <v>8000</v>
      </c>
      <c r="E104" s="1" t="s">
        <v>325</v>
      </c>
      <c r="F104" s="3">
        <v>32513</v>
      </c>
      <c r="G104" s="1" t="s">
        <v>17</v>
      </c>
      <c r="H104" s="1" t="s">
        <v>7</v>
      </c>
      <c r="I104" s="3">
        <v>45084</v>
      </c>
      <c r="J104" s="3"/>
      <c r="K104" s="1" t="s">
        <v>361</v>
      </c>
      <c r="L104" s="1" t="s">
        <v>356</v>
      </c>
      <c r="M104" s="1" t="s">
        <v>350</v>
      </c>
      <c r="N104" s="1" t="s">
        <v>353</v>
      </c>
      <c r="O104" s="1" t="s">
        <v>364</v>
      </c>
      <c r="P104" s="1">
        <v>2.91</v>
      </c>
      <c r="Q104" s="1">
        <v>4</v>
      </c>
      <c r="R104" s="1">
        <v>0</v>
      </c>
      <c r="S104" s="3">
        <v>44166</v>
      </c>
      <c r="T104" s="7">
        <f t="shared" si="1"/>
        <v>0.56986301369863013</v>
      </c>
    </row>
    <row r="105" spans="1:20" x14ac:dyDescent="0.3">
      <c r="A105" s="1" t="s">
        <v>500</v>
      </c>
      <c r="B105" s="1" t="s">
        <v>117</v>
      </c>
      <c r="C105" s="1" t="s">
        <v>16</v>
      </c>
      <c r="D105" s="2">
        <v>8000</v>
      </c>
      <c r="E105" s="1" t="s">
        <v>325</v>
      </c>
      <c r="F105" s="3">
        <v>34423</v>
      </c>
      <c r="G105" s="1" t="s">
        <v>1</v>
      </c>
      <c r="H105" s="1" t="s">
        <v>349</v>
      </c>
      <c r="I105" s="3">
        <v>44049</v>
      </c>
      <c r="J105" s="3"/>
      <c r="K105" s="1" t="s">
        <v>361</v>
      </c>
      <c r="L105" s="1" t="s">
        <v>356</v>
      </c>
      <c r="M105" s="1" t="s">
        <v>350</v>
      </c>
      <c r="N105" s="1" t="s">
        <v>353</v>
      </c>
      <c r="O105" s="1" t="s">
        <v>364</v>
      </c>
      <c r="P105" s="1">
        <v>5</v>
      </c>
      <c r="Q105" s="1">
        <v>5</v>
      </c>
      <c r="R105" s="1">
        <v>0</v>
      </c>
      <c r="S105" s="3">
        <v>44166</v>
      </c>
      <c r="T105" s="7">
        <f t="shared" si="1"/>
        <v>3.4054794520547946</v>
      </c>
    </row>
    <row r="106" spans="1:20" x14ac:dyDescent="0.3">
      <c r="A106" s="1" t="s">
        <v>501</v>
      </c>
      <c r="B106" s="1" t="s">
        <v>118</v>
      </c>
      <c r="C106" s="1" t="s">
        <v>16</v>
      </c>
      <c r="D106" s="2">
        <v>10000</v>
      </c>
      <c r="E106" s="1" t="s">
        <v>326</v>
      </c>
      <c r="F106" s="3">
        <v>35007</v>
      </c>
      <c r="G106" s="1" t="s">
        <v>1</v>
      </c>
      <c r="H106" s="1" t="s">
        <v>349</v>
      </c>
      <c r="I106" s="3">
        <v>44103</v>
      </c>
      <c r="J106" s="3"/>
      <c r="K106" s="1" t="s">
        <v>361</v>
      </c>
      <c r="L106" s="1" t="s">
        <v>356</v>
      </c>
      <c r="M106" s="1" t="s">
        <v>350</v>
      </c>
      <c r="N106" s="1" t="s">
        <v>353</v>
      </c>
      <c r="O106" s="1" t="s">
        <v>364</v>
      </c>
      <c r="P106" s="1">
        <v>4.28</v>
      </c>
      <c r="Q106" s="1">
        <v>3</v>
      </c>
      <c r="R106" s="1">
        <v>0</v>
      </c>
      <c r="S106" s="3">
        <v>44166</v>
      </c>
      <c r="T106" s="7">
        <f t="shared" si="1"/>
        <v>3.2575342465753425</v>
      </c>
    </row>
    <row r="107" spans="1:20" x14ac:dyDescent="0.3">
      <c r="A107" s="1" t="s">
        <v>502</v>
      </c>
      <c r="B107" s="1" t="s">
        <v>119</v>
      </c>
      <c r="C107" s="1" t="s">
        <v>16</v>
      </c>
      <c r="D107" s="2">
        <v>10500</v>
      </c>
      <c r="E107" s="1" t="s">
        <v>326</v>
      </c>
      <c r="F107" s="3">
        <v>34209</v>
      </c>
      <c r="G107" s="1" t="s">
        <v>1</v>
      </c>
      <c r="H107" s="1" t="s">
        <v>7</v>
      </c>
      <c r="I107" s="3">
        <v>43709</v>
      </c>
      <c r="J107" s="3"/>
      <c r="K107" s="1" t="s">
        <v>361</v>
      </c>
      <c r="L107" s="1" t="s">
        <v>356</v>
      </c>
      <c r="M107" s="1" t="s">
        <v>350</v>
      </c>
      <c r="N107" s="1" t="s">
        <v>353</v>
      </c>
      <c r="O107" s="1" t="s">
        <v>364</v>
      </c>
      <c r="P107" s="1">
        <v>4.2</v>
      </c>
      <c r="Q107" s="1">
        <v>5</v>
      </c>
      <c r="R107" s="1">
        <v>0</v>
      </c>
      <c r="S107" s="3">
        <v>44166</v>
      </c>
      <c r="T107" s="7">
        <f t="shared" si="1"/>
        <v>4.3369863013698629</v>
      </c>
    </row>
    <row r="108" spans="1:20" x14ac:dyDescent="0.3">
      <c r="A108" s="1" t="s">
        <v>503</v>
      </c>
      <c r="B108" s="1" t="s">
        <v>120</v>
      </c>
      <c r="C108" s="1" t="s">
        <v>13</v>
      </c>
      <c r="D108" s="2">
        <v>11200</v>
      </c>
      <c r="E108" s="1" t="s">
        <v>326</v>
      </c>
      <c r="F108" s="3">
        <v>26677</v>
      </c>
      <c r="G108" s="1" t="s">
        <v>17</v>
      </c>
      <c r="H108" s="1" t="s">
        <v>349</v>
      </c>
      <c r="I108" s="3">
        <v>41517</v>
      </c>
      <c r="J108" s="3"/>
      <c r="K108" s="1" t="s">
        <v>361</v>
      </c>
      <c r="L108" s="1" t="s">
        <v>356</v>
      </c>
      <c r="M108" s="1" t="s">
        <v>350</v>
      </c>
      <c r="N108" s="1" t="s">
        <v>351</v>
      </c>
      <c r="O108" s="1" t="s">
        <v>366</v>
      </c>
      <c r="P108" s="1">
        <v>4.0999999999999996</v>
      </c>
      <c r="Q108" s="1">
        <v>3</v>
      </c>
      <c r="R108" s="1">
        <v>0</v>
      </c>
      <c r="S108" s="3">
        <v>44166</v>
      </c>
      <c r="T108" s="7">
        <f t="shared" si="1"/>
        <v>10.342465753424657</v>
      </c>
    </row>
    <row r="109" spans="1:20" x14ac:dyDescent="0.3">
      <c r="A109" s="1" t="s">
        <v>504</v>
      </c>
      <c r="B109" s="1" t="s">
        <v>121</v>
      </c>
      <c r="C109" s="1" t="s">
        <v>16</v>
      </c>
      <c r="D109" s="2">
        <v>10250</v>
      </c>
      <c r="E109" s="1" t="s">
        <v>326</v>
      </c>
      <c r="F109" s="3">
        <v>25753</v>
      </c>
      <c r="G109" s="1" t="s">
        <v>1</v>
      </c>
      <c r="H109" s="1" t="s">
        <v>349</v>
      </c>
      <c r="I109" s="3">
        <v>44467</v>
      </c>
      <c r="J109" s="3"/>
      <c r="K109" s="1" t="s">
        <v>361</v>
      </c>
      <c r="L109" s="1" t="s">
        <v>356</v>
      </c>
      <c r="M109" s="1" t="s">
        <v>350</v>
      </c>
      <c r="N109" s="1" t="s">
        <v>353</v>
      </c>
      <c r="O109" s="1" t="s">
        <v>364</v>
      </c>
      <c r="P109" s="1">
        <v>3.69</v>
      </c>
      <c r="Q109" s="1">
        <v>3</v>
      </c>
      <c r="R109" s="1">
        <v>0</v>
      </c>
      <c r="S109" s="3">
        <v>44166</v>
      </c>
      <c r="T109" s="7">
        <f t="shared" si="1"/>
        <v>2.2602739726027399</v>
      </c>
    </row>
    <row r="110" spans="1:20" x14ac:dyDescent="0.3">
      <c r="A110" s="1" t="s">
        <v>505</v>
      </c>
      <c r="B110" s="1" t="s">
        <v>122</v>
      </c>
      <c r="C110" s="1" t="s">
        <v>13</v>
      </c>
      <c r="D110" s="2">
        <v>13200</v>
      </c>
      <c r="E110" s="1" t="s">
        <v>702</v>
      </c>
      <c r="F110" s="3">
        <v>32219</v>
      </c>
      <c r="G110" s="1" t="s">
        <v>1</v>
      </c>
      <c r="H110" s="1" t="s">
        <v>349</v>
      </c>
      <c r="I110" s="3">
        <v>42490</v>
      </c>
      <c r="J110" s="3"/>
      <c r="K110" s="1" t="s">
        <v>361</v>
      </c>
      <c r="L110" s="1" t="s">
        <v>356</v>
      </c>
      <c r="M110" s="1" t="s">
        <v>700</v>
      </c>
      <c r="N110" s="1" t="s">
        <v>352</v>
      </c>
      <c r="O110" s="1" t="s">
        <v>366</v>
      </c>
      <c r="P110" s="1">
        <v>3.02</v>
      </c>
      <c r="Q110" s="1">
        <v>5</v>
      </c>
      <c r="R110" s="1">
        <v>0</v>
      </c>
      <c r="S110" s="3">
        <v>44166</v>
      </c>
      <c r="T110" s="7">
        <f t="shared" si="1"/>
        <v>7.6767123287671231</v>
      </c>
    </row>
    <row r="111" spans="1:20" x14ac:dyDescent="0.3">
      <c r="A111" s="1" t="s">
        <v>506</v>
      </c>
      <c r="B111" s="1" t="s">
        <v>123</v>
      </c>
      <c r="C111" s="1" t="s">
        <v>16</v>
      </c>
      <c r="D111" s="2">
        <v>13200</v>
      </c>
      <c r="E111" s="1" t="s">
        <v>342</v>
      </c>
      <c r="F111" s="3">
        <v>26008</v>
      </c>
      <c r="G111" s="1" t="s">
        <v>1</v>
      </c>
      <c r="H111" s="1" t="s">
        <v>7</v>
      </c>
      <c r="I111" s="3">
        <v>44320</v>
      </c>
      <c r="J111" s="3"/>
      <c r="K111" s="1" t="s">
        <v>361</v>
      </c>
      <c r="L111" s="1" t="s">
        <v>356</v>
      </c>
      <c r="M111" s="1" t="s">
        <v>350</v>
      </c>
      <c r="N111" s="1" t="s">
        <v>351</v>
      </c>
      <c r="O111" s="1" t="s">
        <v>364</v>
      </c>
      <c r="P111" s="1">
        <v>1.22</v>
      </c>
      <c r="Q111" s="1">
        <v>4</v>
      </c>
      <c r="R111" s="1">
        <v>0</v>
      </c>
      <c r="S111" s="3">
        <v>44166</v>
      </c>
      <c r="T111" s="7">
        <f t="shared" si="1"/>
        <v>2.6630136986301371</v>
      </c>
    </row>
    <row r="112" spans="1:20" x14ac:dyDescent="0.3">
      <c r="A112" s="1" t="s">
        <v>507</v>
      </c>
      <c r="B112" s="1" t="s">
        <v>124</v>
      </c>
      <c r="C112" s="1" t="s">
        <v>16</v>
      </c>
      <c r="D112" s="2">
        <v>17600</v>
      </c>
      <c r="E112" s="1" t="s">
        <v>344</v>
      </c>
      <c r="F112" s="3">
        <v>21813</v>
      </c>
      <c r="G112" s="1" t="s">
        <v>1</v>
      </c>
      <c r="H112" s="1" t="s">
        <v>7</v>
      </c>
      <c r="I112" s="3">
        <v>43502</v>
      </c>
      <c r="J112" s="3"/>
      <c r="K112" s="1" t="s">
        <v>361</v>
      </c>
      <c r="L112" s="1" t="s">
        <v>356</v>
      </c>
      <c r="M112" s="1" t="s">
        <v>8</v>
      </c>
      <c r="N112" s="1" t="s">
        <v>353</v>
      </c>
      <c r="O112" s="1" t="s">
        <v>364</v>
      </c>
      <c r="P112" s="1">
        <v>4.83</v>
      </c>
      <c r="Q112" s="1">
        <v>3</v>
      </c>
      <c r="R112" s="1">
        <v>0</v>
      </c>
      <c r="S112" s="3">
        <v>44166</v>
      </c>
      <c r="T112" s="7">
        <f t="shared" si="1"/>
        <v>4.904109589041096</v>
      </c>
    </row>
    <row r="113" spans="1:20" x14ac:dyDescent="0.3">
      <c r="A113" s="1" t="s">
        <v>508</v>
      </c>
      <c r="B113" s="1" t="s">
        <v>125</v>
      </c>
      <c r="C113" s="1" t="s">
        <v>16</v>
      </c>
      <c r="D113" s="2">
        <v>11990</v>
      </c>
      <c r="E113" s="1" t="s">
        <v>703</v>
      </c>
      <c r="F113" s="3">
        <v>26946</v>
      </c>
      <c r="G113" s="1" t="s">
        <v>17</v>
      </c>
      <c r="H113" s="1" t="s">
        <v>349</v>
      </c>
      <c r="I113" s="3">
        <v>43107</v>
      </c>
      <c r="J113" s="3"/>
      <c r="K113" s="1" t="s">
        <v>361</v>
      </c>
      <c r="L113" s="1" t="s">
        <v>356</v>
      </c>
      <c r="M113" s="1" t="s">
        <v>700</v>
      </c>
      <c r="N113" s="1" t="s">
        <v>701</v>
      </c>
      <c r="O113" s="1" t="s">
        <v>364</v>
      </c>
      <c r="P113" s="1">
        <v>3.93</v>
      </c>
      <c r="Q113" s="1">
        <v>3</v>
      </c>
      <c r="R113" s="1">
        <v>0</v>
      </c>
      <c r="S113" s="3">
        <v>44166</v>
      </c>
      <c r="T113" s="7">
        <f t="shared" si="1"/>
        <v>5.9863013698630141</v>
      </c>
    </row>
    <row r="114" spans="1:20" x14ac:dyDescent="0.3">
      <c r="A114" s="1" t="s">
        <v>509</v>
      </c>
      <c r="B114" s="1" t="s">
        <v>126</v>
      </c>
      <c r="C114" s="1" t="s">
        <v>13</v>
      </c>
      <c r="D114" s="2">
        <v>12100</v>
      </c>
      <c r="E114" s="1" t="s">
        <v>703</v>
      </c>
      <c r="F114" s="3">
        <v>32392</v>
      </c>
      <c r="G114" s="1" t="s">
        <v>17</v>
      </c>
      <c r="H114" s="1" t="s">
        <v>349</v>
      </c>
      <c r="I114" s="3">
        <v>44953</v>
      </c>
      <c r="J114" s="3"/>
      <c r="K114" s="1" t="s">
        <v>361</v>
      </c>
      <c r="L114" s="1" t="s">
        <v>356</v>
      </c>
      <c r="M114" s="1" t="s">
        <v>700</v>
      </c>
      <c r="N114" s="1" t="s">
        <v>353</v>
      </c>
      <c r="O114" s="1" t="s">
        <v>366</v>
      </c>
      <c r="P114" s="1">
        <v>5</v>
      </c>
      <c r="Q114" s="1">
        <v>2.8</v>
      </c>
      <c r="R114" s="1">
        <v>0</v>
      </c>
      <c r="S114" s="3">
        <v>44166</v>
      </c>
      <c r="T114" s="7">
        <f t="shared" si="1"/>
        <v>0.92876712328767119</v>
      </c>
    </row>
    <row r="115" spans="1:20" x14ac:dyDescent="0.3">
      <c r="A115" s="1" t="s">
        <v>510</v>
      </c>
      <c r="B115" s="1" t="s">
        <v>127</v>
      </c>
      <c r="C115" s="1" t="s">
        <v>16</v>
      </c>
      <c r="D115" s="2">
        <v>11220</v>
      </c>
      <c r="E115" s="1" t="s">
        <v>703</v>
      </c>
      <c r="F115" s="3">
        <v>28821</v>
      </c>
      <c r="G115" s="1" t="s">
        <v>1</v>
      </c>
      <c r="H115" s="1" t="s">
        <v>349</v>
      </c>
      <c r="I115" s="3">
        <v>44456</v>
      </c>
      <c r="J115" s="3"/>
      <c r="K115" s="1" t="s">
        <v>361</v>
      </c>
      <c r="L115" s="1" t="s">
        <v>356</v>
      </c>
      <c r="M115" s="1" t="s">
        <v>700</v>
      </c>
      <c r="N115" s="1" t="s">
        <v>353</v>
      </c>
      <c r="O115" s="1" t="s">
        <v>364</v>
      </c>
      <c r="P115" s="1">
        <v>4.5199999999999996</v>
      </c>
      <c r="Q115" s="1">
        <v>4</v>
      </c>
      <c r="R115" s="1">
        <v>0</v>
      </c>
      <c r="S115" s="3">
        <v>44166</v>
      </c>
      <c r="T115" s="7">
        <f t="shared" si="1"/>
        <v>2.2904109589041095</v>
      </c>
    </row>
    <row r="116" spans="1:20" x14ac:dyDescent="0.3">
      <c r="A116" s="1" t="s">
        <v>511</v>
      </c>
      <c r="B116" s="1" t="s">
        <v>128</v>
      </c>
      <c r="C116" s="1" t="s">
        <v>16</v>
      </c>
      <c r="D116" s="2">
        <v>11880</v>
      </c>
      <c r="E116" s="1" t="s">
        <v>703</v>
      </c>
      <c r="F116" s="3">
        <v>31722</v>
      </c>
      <c r="G116" s="1" t="s">
        <v>17</v>
      </c>
      <c r="H116" s="1" t="s">
        <v>349</v>
      </c>
      <c r="I116" s="3">
        <v>44597</v>
      </c>
      <c r="J116" s="3"/>
      <c r="K116" s="1" t="s">
        <v>361</v>
      </c>
      <c r="L116" s="1" t="s">
        <v>356</v>
      </c>
      <c r="M116" s="1" t="s">
        <v>700</v>
      </c>
      <c r="N116" s="1" t="s">
        <v>701</v>
      </c>
      <c r="O116" s="1" t="s">
        <v>364</v>
      </c>
      <c r="P116" s="1">
        <v>4.63</v>
      </c>
      <c r="Q116" s="1">
        <v>3</v>
      </c>
      <c r="R116" s="1">
        <v>0</v>
      </c>
      <c r="S116" s="3">
        <v>44166</v>
      </c>
      <c r="T116" s="7">
        <f t="shared" si="1"/>
        <v>1.904109589041096</v>
      </c>
    </row>
    <row r="117" spans="1:20" x14ac:dyDescent="0.3">
      <c r="A117" s="1" t="s">
        <v>512</v>
      </c>
      <c r="B117" s="1" t="s">
        <v>129</v>
      </c>
      <c r="C117" s="1" t="s">
        <v>13</v>
      </c>
      <c r="D117" s="2">
        <v>12100</v>
      </c>
      <c r="E117" s="1" t="s">
        <v>703</v>
      </c>
      <c r="F117" s="3">
        <v>31710</v>
      </c>
      <c r="G117" s="1" t="s">
        <v>1</v>
      </c>
      <c r="H117" s="1" t="s">
        <v>7</v>
      </c>
      <c r="I117" s="3">
        <v>44103</v>
      </c>
      <c r="J117" s="3"/>
      <c r="K117" s="1" t="s">
        <v>361</v>
      </c>
      <c r="L117" s="1" t="s">
        <v>356</v>
      </c>
      <c r="M117" s="1" t="s">
        <v>700</v>
      </c>
      <c r="N117" s="1" t="s">
        <v>353</v>
      </c>
      <c r="O117" s="1" t="s">
        <v>366</v>
      </c>
      <c r="P117" s="1">
        <v>3.66</v>
      </c>
      <c r="Q117" s="1">
        <v>3</v>
      </c>
      <c r="R117" s="1">
        <v>0</v>
      </c>
      <c r="S117" s="3">
        <v>44166</v>
      </c>
      <c r="T117" s="7">
        <f t="shared" si="1"/>
        <v>3.2575342465753425</v>
      </c>
    </row>
    <row r="118" spans="1:20" x14ac:dyDescent="0.3">
      <c r="A118" s="1" t="s">
        <v>513</v>
      </c>
      <c r="B118" s="1" t="s">
        <v>130</v>
      </c>
      <c r="C118" s="1" t="s">
        <v>16</v>
      </c>
      <c r="D118" s="2">
        <v>11660</v>
      </c>
      <c r="E118" s="1" t="s">
        <v>703</v>
      </c>
      <c r="F118" s="3">
        <v>31692</v>
      </c>
      <c r="G118" s="1" t="s">
        <v>17</v>
      </c>
      <c r="H118" s="1" t="s">
        <v>349</v>
      </c>
      <c r="I118" s="3">
        <v>43693</v>
      </c>
      <c r="J118" s="3"/>
      <c r="K118" s="1" t="s">
        <v>361</v>
      </c>
      <c r="L118" s="1" t="s">
        <v>356</v>
      </c>
      <c r="M118" s="1" t="s">
        <v>700</v>
      </c>
      <c r="N118" s="1" t="s">
        <v>353</v>
      </c>
      <c r="O118" s="1" t="s">
        <v>364</v>
      </c>
      <c r="P118" s="1">
        <v>4.37</v>
      </c>
      <c r="Q118" s="1">
        <v>3</v>
      </c>
      <c r="R118" s="1">
        <v>0</v>
      </c>
      <c r="S118" s="3">
        <v>44166</v>
      </c>
      <c r="T118" s="7">
        <f t="shared" si="1"/>
        <v>4.3808219178082188</v>
      </c>
    </row>
    <row r="119" spans="1:20" x14ac:dyDescent="0.3">
      <c r="A119" s="1" t="s">
        <v>514</v>
      </c>
      <c r="B119" s="1" t="s">
        <v>131</v>
      </c>
      <c r="C119" s="1" t="s">
        <v>16</v>
      </c>
      <c r="D119" s="2">
        <v>11440</v>
      </c>
      <c r="E119" s="1" t="s">
        <v>703</v>
      </c>
      <c r="F119" s="3">
        <v>29492</v>
      </c>
      <c r="G119" s="1" t="s">
        <v>1</v>
      </c>
      <c r="H119" s="1" t="s">
        <v>7</v>
      </c>
      <c r="I119" s="3">
        <v>43505</v>
      </c>
      <c r="J119" s="3"/>
      <c r="K119" s="1" t="s">
        <v>361</v>
      </c>
      <c r="L119" s="1" t="s">
        <v>356</v>
      </c>
      <c r="M119" s="1" t="s">
        <v>700</v>
      </c>
      <c r="N119" s="1" t="s">
        <v>701</v>
      </c>
      <c r="O119" s="1" t="s">
        <v>364</v>
      </c>
      <c r="P119" s="1">
        <v>4.83</v>
      </c>
      <c r="Q119" s="1">
        <v>5</v>
      </c>
      <c r="R119" s="1">
        <v>0</v>
      </c>
      <c r="S119" s="3">
        <v>44166</v>
      </c>
      <c r="T119" s="7">
        <f t="shared" si="1"/>
        <v>4.8958904109589039</v>
      </c>
    </row>
    <row r="120" spans="1:20" x14ac:dyDescent="0.3">
      <c r="A120" s="1" t="s">
        <v>515</v>
      </c>
      <c r="B120" s="1" t="s">
        <v>132</v>
      </c>
      <c r="C120" s="1" t="s">
        <v>27</v>
      </c>
      <c r="D120" s="2">
        <v>11660</v>
      </c>
      <c r="E120" s="1" t="s">
        <v>703</v>
      </c>
      <c r="F120" s="3">
        <v>29570</v>
      </c>
      <c r="G120" s="1" t="s">
        <v>17</v>
      </c>
      <c r="H120" s="1" t="s">
        <v>349</v>
      </c>
      <c r="I120" s="3">
        <v>42935</v>
      </c>
      <c r="J120" s="3"/>
      <c r="K120" s="1" t="s">
        <v>361</v>
      </c>
      <c r="L120" s="1" t="s">
        <v>356</v>
      </c>
      <c r="M120" s="1" t="s">
        <v>700</v>
      </c>
      <c r="N120" s="1" t="s">
        <v>351</v>
      </c>
      <c r="O120" s="1" t="s">
        <v>365</v>
      </c>
      <c r="P120" s="1">
        <v>4.13</v>
      </c>
      <c r="Q120" s="1">
        <v>2</v>
      </c>
      <c r="R120" s="1">
        <v>0</v>
      </c>
      <c r="S120" s="3">
        <v>44166</v>
      </c>
      <c r="T120" s="7">
        <f t="shared" si="1"/>
        <v>6.4575342465753423</v>
      </c>
    </row>
    <row r="121" spans="1:20" x14ac:dyDescent="0.3">
      <c r="A121" s="1" t="s">
        <v>516</v>
      </c>
      <c r="B121" s="1" t="s">
        <v>133</v>
      </c>
      <c r="C121" s="1" t="s">
        <v>16</v>
      </c>
      <c r="D121" s="2">
        <v>12100</v>
      </c>
      <c r="E121" s="1" t="s">
        <v>703</v>
      </c>
      <c r="F121" s="3">
        <v>30402</v>
      </c>
      <c r="G121" s="1" t="s">
        <v>1</v>
      </c>
      <c r="H121" s="1" t="s">
        <v>7</v>
      </c>
      <c r="I121" s="3">
        <v>42582</v>
      </c>
      <c r="J121" s="3"/>
      <c r="K121" s="1" t="s">
        <v>361</v>
      </c>
      <c r="L121" s="1" t="s">
        <v>356</v>
      </c>
      <c r="M121" s="1" t="s">
        <v>700</v>
      </c>
      <c r="N121" s="1" t="s">
        <v>351</v>
      </c>
      <c r="O121" s="1" t="s">
        <v>364</v>
      </c>
      <c r="P121" s="1">
        <v>3.73</v>
      </c>
      <c r="Q121" s="1">
        <v>4</v>
      </c>
      <c r="R121" s="1">
        <v>0</v>
      </c>
      <c r="S121" s="3">
        <v>44166</v>
      </c>
      <c r="T121" s="7">
        <f t="shared" si="1"/>
        <v>7.4246575342465757</v>
      </c>
    </row>
    <row r="122" spans="1:20" x14ac:dyDescent="0.3">
      <c r="A122" s="1" t="s">
        <v>517</v>
      </c>
      <c r="B122" s="1" t="s">
        <v>134</v>
      </c>
      <c r="C122" s="1" t="s">
        <v>16</v>
      </c>
      <c r="D122" s="2">
        <v>5500</v>
      </c>
      <c r="E122" s="1" t="s">
        <v>705</v>
      </c>
      <c r="F122" s="3">
        <v>31079</v>
      </c>
      <c r="G122" s="1" t="s">
        <v>1</v>
      </c>
      <c r="H122" s="1" t="s">
        <v>349</v>
      </c>
      <c r="I122" s="3">
        <v>43588</v>
      </c>
      <c r="J122" s="3"/>
      <c r="K122" s="1" t="s">
        <v>361</v>
      </c>
      <c r="L122" s="1" t="s">
        <v>356</v>
      </c>
      <c r="M122" s="1" t="s">
        <v>700</v>
      </c>
      <c r="N122" s="1" t="s">
        <v>701</v>
      </c>
      <c r="O122" s="1" t="s">
        <v>364</v>
      </c>
      <c r="P122" s="1">
        <v>4.51</v>
      </c>
      <c r="Q122" s="1">
        <v>4</v>
      </c>
      <c r="R122" s="1">
        <v>0</v>
      </c>
      <c r="S122" s="3">
        <v>44166</v>
      </c>
      <c r="T122" s="7">
        <f t="shared" si="1"/>
        <v>4.6684931506849319</v>
      </c>
    </row>
    <row r="123" spans="1:20" x14ac:dyDescent="0.3">
      <c r="A123" s="1" t="s">
        <v>518</v>
      </c>
      <c r="B123" s="1" t="s">
        <v>135</v>
      </c>
      <c r="C123" s="1" t="s">
        <v>13</v>
      </c>
      <c r="D123" s="2">
        <v>5500</v>
      </c>
      <c r="E123" s="1" t="s">
        <v>705</v>
      </c>
      <c r="F123" s="3">
        <v>27249</v>
      </c>
      <c r="G123" s="1" t="s">
        <v>1</v>
      </c>
      <c r="H123" s="1" t="s">
        <v>349</v>
      </c>
      <c r="I123" s="3">
        <v>44383</v>
      </c>
      <c r="J123" s="3"/>
      <c r="K123" s="1" t="s">
        <v>361</v>
      </c>
      <c r="L123" s="1" t="s">
        <v>356</v>
      </c>
      <c r="M123" s="1" t="s">
        <v>700</v>
      </c>
      <c r="N123" s="1" t="s">
        <v>352</v>
      </c>
      <c r="O123" s="1" t="s">
        <v>366</v>
      </c>
      <c r="P123" s="1">
        <v>1.51</v>
      </c>
      <c r="Q123" s="1">
        <v>3</v>
      </c>
      <c r="R123" s="1">
        <v>0</v>
      </c>
      <c r="S123" s="3">
        <v>44166</v>
      </c>
      <c r="T123" s="7">
        <f t="shared" si="1"/>
        <v>2.4904109589041097</v>
      </c>
    </row>
    <row r="124" spans="1:20" x14ac:dyDescent="0.3">
      <c r="A124" s="1" t="s">
        <v>519</v>
      </c>
      <c r="B124" s="1" t="s">
        <v>136</v>
      </c>
      <c r="C124" s="1" t="s">
        <v>16</v>
      </c>
      <c r="D124" s="2">
        <v>5720</v>
      </c>
      <c r="E124" s="1" t="s">
        <v>705</v>
      </c>
      <c r="F124" s="3">
        <v>30956</v>
      </c>
      <c r="G124" s="1" t="s">
        <v>1</v>
      </c>
      <c r="H124" s="1" t="s">
        <v>7</v>
      </c>
      <c r="I124" s="3">
        <v>43499</v>
      </c>
      <c r="J124" s="3"/>
      <c r="K124" s="1" t="s">
        <v>361</v>
      </c>
      <c r="L124" s="1" t="s">
        <v>356</v>
      </c>
      <c r="M124" s="1" t="s">
        <v>700</v>
      </c>
      <c r="N124" s="1" t="s">
        <v>351</v>
      </c>
      <c r="O124" s="1" t="s">
        <v>364</v>
      </c>
      <c r="P124" s="1">
        <v>2.61</v>
      </c>
      <c r="Q124" s="1">
        <v>3</v>
      </c>
      <c r="R124" s="1">
        <v>0</v>
      </c>
      <c r="S124" s="3">
        <v>44166</v>
      </c>
      <c r="T124" s="7">
        <f t="shared" si="1"/>
        <v>4.912328767123288</v>
      </c>
    </row>
    <row r="125" spans="1:20" x14ac:dyDescent="0.3">
      <c r="A125" s="1" t="s">
        <v>520</v>
      </c>
      <c r="B125" s="1" t="s">
        <v>137</v>
      </c>
      <c r="C125" s="1" t="s">
        <v>16</v>
      </c>
      <c r="D125" s="2">
        <v>5335</v>
      </c>
      <c r="E125" s="1" t="s">
        <v>705</v>
      </c>
      <c r="F125" s="3">
        <v>33382</v>
      </c>
      <c r="G125" s="1" t="s">
        <v>1</v>
      </c>
      <c r="H125" s="1" t="s">
        <v>7</v>
      </c>
      <c r="I125" s="3">
        <v>44534</v>
      </c>
      <c r="J125" s="3"/>
      <c r="K125" s="1" t="s">
        <v>361</v>
      </c>
      <c r="L125" s="1" t="s">
        <v>356</v>
      </c>
      <c r="M125" s="1" t="s">
        <v>700</v>
      </c>
      <c r="N125" s="1" t="s">
        <v>352</v>
      </c>
      <c r="O125" s="1" t="s">
        <v>364</v>
      </c>
      <c r="P125" s="1">
        <v>2.04</v>
      </c>
      <c r="Q125" s="1">
        <v>3</v>
      </c>
      <c r="R125" s="1">
        <v>0</v>
      </c>
      <c r="S125" s="3">
        <v>44166</v>
      </c>
      <c r="T125" s="7">
        <f t="shared" si="1"/>
        <v>2.0767123287671234</v>
      </c>
    </row>
    <row r="126" spans="1:20" x14ac:dyDescent="0.3">
      <c r="A126" s="1" t="s">
        <v>521</v>
      </c>
      <c r="B126" s="1" t="s">
        <v>138</v>
      </c>
      <c r="C126" s="1" t="s">
        <v>16</v>
      </c>
      <c r="D126" s="2">
        <v>5940</v>
      </c>
      <c r="E126" s="1" t="s">
        <v>705</v>
      </c>
      <c r="F126" s="3">
        <v>35658</v>
      </c>
      <c r="G126" s="1" t="s">
        <v>17</v>
      </c>
      <c r="H126" s="1" t="s">
        <v>7</v>
      </c>
      <c r="I126" s="3">
        <v>43291</v>
      </c>
      <c r="J126" s="3"/>
      <c r="K126" s="1" t="s">
        <v>361</v>
      </c>
      <c r="L126" s="1" t="s">
        <v>356</v>
      </c>
      <c r="M126" s="1" t="s">
        <v>700</v>
      </c>
      <c r="N126" s="1" t="s">
        <v>352</v>
      </c>
      <c r="O126" s="1" t="s">
        <v>364</v>
      </c>
      <c r="P126" s="1">
        <v>2.67</v>
      </c>
      <c r="Q126" s="1">
        <v>3</v>
      </c>
      <c r="R126" s="1">
        <v>0</v>
      </c>
      <c r="S126" s="3">
        <v>44166</v>
      </c>
      <c r="T126" s="7">
        <f t="shared" si="1"/>
        <v>5.4821917808219176</v>
      </c>
    </row>
    <row r="127" spans="1:20" x14ac:dyDescent="0.3">
      <c r="A127" s="1" t="s">
        <v>522</v>
      </c>
      <c r="B127" s="1" t="s">
        <v>139</v>
      </c>
      <c r="C127" s="1" t="s">
        <v>16</v>
      </c>
      <c r="D127" s="2">
        <v>4840</v>
      </c>
      <c r="E127" s="1" t="s">
        <v>705</v>
      </c>
      <c r="F127" s="3">
        <v>32982</v>
      </c>
      <c r="G127" s="1" t="s">
        <v>1</v>
      </c>
      <c r="H127" s="1" t="s">
        <v>349</v>
      </c>
      <c r="I127" s="3">
        <v>44467</v>
      </c>
      <c r="J127" s="3"/>
      <c r="K127" s="1" t="s">
        <v>361</v>
      </c>
      <c r="L127" s="1" t="s">
        <v>356</v>
      </c>
      <c r="M127" s="1" t="s">
        <v>700</v>
      </c>
      <c r="N127" s="1" t="s">
        <v>353</v>
      </c>
      <c r="O127" s="1" t="s">
        <v>364</v>
      </c>
      <c r="P127" s="1">
        <v>3.4</v>
      </c>
      <c r="Q127" s="1">
        <v>4</v>
      </c>
      <c r="R127" s="1">
        <v>0</v>
      </c>
      <c r="S127" s="3">
        <v>44166</v>
      </c>
      <c r="T127" s="7">
        <f t="shared" si="1"/>
        <v>2.2602739726027399</v>
      </c>
    </row>
    <row r="128" spans="1:20" x14ac:dyDescent="0.3">
      <c r="A128" s="1" t="s">
        <v>523</v>
      </c>
      <c r="B128" s="1" t="s">
        <v>140</v>
      </c>
      <c r="C128" s="1" t="s">
        <v>16</v>
      </c>
      <c r="D128" s="2">
        <v>5940</v>
      </c>
      <c r="E128" s="1" t="s">
        <v>705</v>
      </c>
      <c r="F128" s="3">
        <v>30580</v>
      </c>
      <c r="G128" s="1" t="s">
        <v>1</v>
      </c>
      <c r="H128" s="1" t="s">
        <v>7</v>
      </c>
      <c r="I128" s="3">
        <v>44383</v>
      </c>
      <c r="J128" s="3"/>
      <c r="K128" s="1" t="s">
        <v>361</v>
      </c>
      <c r="L128" s="1" t="s">
        <v>356</v>
      </c>
      <c r="M128" s="1" t="s">
        <v>700</v>
      </c>
      <c r="N128" s="1" t="s">
        <v>352</v>
      </c>
      <c r="O128" s="1" t="s">
        <v>364</v>
      </c>
      <c r="P128" s="1">
        <v>1.49</v>
      </c>
      <c r="Q128" s="1">
        <v>5</v>
      </c>
      <c r="R128" s="1">
        <v>0</v>
      </c>
      <c r="S128" s="3">
        <v>44166</v>
      </c>
      <c r="T128" s="7">
        <f t="shared" si="1"/>
        <v>2.4904109589041097</v>
      </c>
    </row>
    <row r="129" spans="1:20" x14ac:dyDescent="0.3">
      <c r="A129" s="1" t="s">
        <v>524</v>
      </c>
      <c r="B129" s="1" t="s">
        <v>141</v>
      </c>
      <c r="C129" s="1" t="s">
        <v>16</v>
      </c>
      <c r="D129" s="2">
        <v>5500</v>
      </c>
      <c r="E129" s="1" t="s">
        <v>705</v>
      </c>
      <c r="F129" s="3">
        <v>32814</v>
      </c>
      <c r="G129" s="1" t="s">
        <v>1</v>
      </c>
      <c r="H129" s="1" t="s">
        <v>349</v>
      </c>
      <c r="I129" s="3">
        <v>45083</v>
      </c>
      <c r="J129" s="3"/>
      <c r="K129" s="1" t="s">
        <v>361</v>
      </c>
      <c r="L129" s="1" t="s">
        <v>356</v>
      </c>
      <c r="M129" s="1" t="s">
        <v>700</v>
      </c>
      <c r="N129" s="1" t="s">
        <v>701</v>
      </c>
      <c r="O129" s="1" t="s">
        <v>364</v>
      </c>
      <c r="P129" s="1">
        <v>2.92</v>
      </c>
      <c r="Q129" s="1">
        <v>5</v>
      </c>
      <c r="R129" s="1">
        <v>0</v>
      </c>
      <c r="S129" s="3">
        <v>44166</v>
      </c>
      <c r="T129" s="7">
        <f t="shared" si="1"/>
        <v>0.57260273972602738</v>
      </c>
    </row>
    <row r="130" spans="1:20" x14ac:dyDescent="0.3">
      <c r="A130" s="1" t="s">
        <v>525</v>
      </c>
      <c r="B130" s="1" t="s">
        <v>142</v>
      </c>
      <c r="C130" s="1" t="s">
        <v>13</v>
      </c>
      <c r="D130" s="2">
        <v>5742</v>
      </c>
      <c r="E130" s="1" t="s">
        <v>705</v>
      </c>
      <c r="F130" s="3">
        <v>31863</v>
      </c>
      <c r="G130" s="1" t="s">
        <v>1</v>
      </c>
      <c r="H130" s="1" t="s">
        <v>349</v>
      </c>
      <c r="I130" s="3">
        <v>44061</v>
      </c>
      <c r="J130" s="3"/>
      <c r="K130" s="1" t="s">
        <v>361</v>
      </c>
      <c r="L130" s="1" t="s">
        <v>356</v>
      </c>
      <c r="M130" s="1" t="s">
        <v>700</v>
      </c>
      <c r="N130" s="1" t="s">
        <v>353</v>
      </c>
      <c r="O130" s="1" t="s">
        <v>366</v>
      </c>
      <c r="P130" s="1">
        <v>1.64</v>
      </c>
      <c r="Q130" s="1">
        <v>4</v>
      </c>
      <c r="R130" s="1">
        <v>0</v>
      </c>
      <c r="S130" s="3">
        <v>44166</v>
      </c>
      <c r="T130" s="7">
        <f t="shared" si="1"/>
        <v>3.3726027397260272</v>
      </c>
    </row>
    <row r="131" spans="1:20" x14ac:dyDescent="0.3">
      <c r="A131" s="1" t="s">
        <v>526</v>
      </c>
      <c r="B131" s="1" t="s">
        <v>143</v>
      </c>
      <c r="C131" s="1" t="s">
        <v>16</v>
      </c>
      <c r="D131" s="2">
        <v>5806</v>
      </c>
      <c r="E131" s="1" t="s">
        <v>705</v>
      </c>
      <c r="F131" s="3">
        <v>33199</v>
      </c>
      <c r="G131" s="1" t="s">
        <v>1</v>
      </c>
      <c r="H131" s="1" t="s">
        <v>349</v>
      </c>
      <c r="I131" s="3">
        <v>44479</v>
      </c>
      <c r="J131" s="3"/>
      <c r="K131" s="1" t="s">
        <v>361</v>
      </c>
      <c r="L131" s="1" t="s">
        <v>356</v>
      </c>
      <c r="M131" s="1" t="s">
        <v>700</v>
      </c>
      <c r="N131" s="1" t="s">
        <v>353</v>
      </c>
      <c r="O131" s="1" t="s">
        <v>364</v>
      </c>
      <c r="P131" s="1">
        <v>4.53</v>
      </c>
      <c r="Q131" s="1">
        <v>5</v>
      </c>
      <c r="R131" s="1">
        <v>0</v>
      </c>
      <c r="S131" s="3">
        <v>44166</v>
      </c>
      <c r="T131" s="7">
        <f t="shared" ref="T131:T194" si="2">IF(L131="Activo",(DATE(2024,1,1)-I131)/365,(J131-I131)/365)</f>
        <v>2.2273972602739724</v>
      </c>
    </row>
    <row r="132" spans="1:20" x14ac:dyDescent="0.3">
      <c r="A132" s="1" t="s">
        <v>527</v>
      </c>
      <c r="B132" s="1" t="s">
        <v>144</v>
      </c>
      <c r="C132" s="1" t="s">
        <v>13</v>
      </c>
      <c r="D132" s="2">
        <v>4840</v>
      </c>
      <c r="E132" s="1" t="s">
        <v>705</v>
      </c>
      <c r="F132" s="3">
        <v>25139</v>
      </c>
      <c r="G132" s="1" t="s">
        <v>17</v>
      </c>
      <c r="H132" s="1" t="s">
        <v>349</v>
      </c>
      <c r="I132" s="3">
        <v>44467</v>
      </c>
      <c r="J132" s="3"/>
      <c r="K132" s="1" t="s">
        <v>361</v>
      </c>
      <c r="L132" s="1" t="s">
        <v>356</v>
      </c>
      <c r="M132" s="1" t="s">
        <v>700</v>
      </c>
      <c r="N132" s="1" t="s">
        <v>353</v>
      </c>
      <c r="O132" s="1" t="s">
        <v>366</v>
      </c>
      <c r="P132" s="1">
        <v>2.41</v>
      </c>
      <c r="Q132" s="1">
        <v>3</v>
      </c>
      <c r="R132" s="1">
        <v>0</v>
      </c>
      <c r="S132" s="3">
        <v>44166</v>
      </c>
      <c r="T132" s="7">
        <f t="shared" si="2"/>
        <v>2.2602739726027399</v>
      </c>
    </row>
    <row r="133" spans="1:20" x14ac:dyDescent="0.3">
      <c r="A133" s="1" t="s">
        <v>528</v>
      </c>
      <c r="B133" s="1" t="s">
        <v>145</v>
      </c>
      <c r="C133" s="1" t="s">
        <v>13</v>
      </c>
      <c r="D133" s="2">
        <v>5940</v>
      </c>
      <c r="E133" s="1" t="s">
        <v>705</v>
      </c>
      <c r="F133" s="3">
        <v>26039</v>
      </c>
      <c r="G133" s="1" t="s">
        <v>1</v>
      </c>
      <c r="H133" s="1" t="s">
        <v>7</v>
      </c>
      <c r="I133" s="3">
        <v>45128</v>
      </c>
      <c r="J133" s="3"/>
      <c r="K133" s="1" t="s">
        <v>361</v>
      </c>
      <c r="L133" s="1" t="s">
        <v>356</v>
      </c>
      <c r="M133" s="1" t="s">
        <v>700</v>
      </c>
      <c r="N133" s="1" t="s">
        <v>701</v>
      </c>
      <c r="O133" s="1" t="s">
        <v>366</v>
      </c>
      <c r="P133" s="1">
        <v>2.7</v>
      </c>
      <c r="Q133" s="1">
        <v>3</v>
      </c>
      <c r="R133" s="1">
        <v>0</v>
      </c>
      <c r="S133" s="3">
        <v>44166</v>
      </c>
      <c r="T133" s="7">
        <f t="shared" si="2"/>
        <v>0.44931506849315067</v>
      </c>
    </row>
    <row r="134" spans="1:20" x14ac:dyDescent="0.3">
      <c r="A134" s="1" t="s">
        <v>529</v>
      </c>
      <c r="B134" s="1" t="s">
        <v>146</v>
      </c>
      <c r="C134" s="1" t="s">
        <v>16</v>
      </c>
      <c r="D134" s="2">
        <v>5280</v>
      </c>
      <c r="E134" s="1" t="s">
        <v>705</v>
      </c>
      <c r="F134" s="3">
        <v>34249</v>
      </c>
      <c r="G134" s="1" t="s">
        <v>17</v>
      </c>
      <c r="H134" s="1" t="s">
        <v>349</v>
      </c>
      <c r="I134" s="3">
        <v>44145</v>
      </c>
      <c r="J134" s="3"/>
      <c r="K134" s="1" t="s">
        <v>361</v>
      </c>
      <c r="L134" s="1" t="s">
        <v>356</v>
      </c>
      <c r="M134" s="1" t="s">
        <v>700</v>
      </c>
      <c r="N134" s="1" t="s">
        <v>353</v>
      </c>
      <c r="O134" s="1" t="s">
        <v>364</v>
      </c>
      <c r="P134" s="1">
        <v>5</v>
      </c>
      <c r="Q134" s="1">
        <v>3</v>
      </c>
      <c r="R134" s="1">
        <v>0</v>
      </c>
      <c r="S134" s="3">
        <v>44166</v>
      </c>
      <c r="T134" s="7">
        <f t="shared" si="2"/>
        <v>3.1424657534246574</v>
      </c>
    </row>
    <row r="135" spans="1:20" x14ac:dyDescent="0.3">
      <c r="A135" s="1" t="s">
        <v>530</v>
      </c>
      <c r="B135" s="1" t="s">
        <v>147</v>
      </c>
      <c r="C135" s="1" t="s">
        <v>16</v>
      </c>
      <c r="D135" s="2">
        <v>4840</v>
      </c>
      <c r="E135" s="1" t="s">
        <v>705</v>
      </c>
      <c r="F135" s="3">
        <v>30758</v>
      </c>
      <c r="G135" s="1" t="s">
        <v>17</v>
      </c>
      <c r="H135" s="1" t="s">
        <v>7</v>
      </c>
      <c r="I135" s="3">
        <v>44049</v>
      </c>
      <c r="J135" s="3"/>
      <c r="K135" s="1" t="s">
        <v>361</v>
      </c>
      <c r="L135" s="1" t="s">
        <v>356</v>
      </c>
      <c r="M135" s="1" t="s">
        <v>700</v>
      </c>
      <c r="N135" s="1" t="s">
        <v>352</v>
      </c>
      <c r="O135" s="1" t="s">
        <v>364</v>
      </c>
      <c r="P135" s="1">
        <v>4</v>
      </c>
      <c r="Q135" s="1">
        <v>3</v>
      </c>
      <c r="R135" s="1">
        <v>0</v>
      </c>
      <c r="S135" s="3">
        <v>44166</v>
      </c>
      <c r="T135" s="7">
        <f t="shared" si="2"/>
        <v>3.4054794520547946</v>
      </c>
    </row>
    <row r="136" spans="1:20" x14ac:dyDescent="0.3">
      <c r="A136" s="1" t="s">
        <v>531</v>
      </c>
      <c r="B136" s="1" t="s">
        <v>148</v>
      </c>
      <c r="C136" s="1" t="s">
        <v>16</v>
      </c>
      <c r="D136" s="2">
        <v>5720</v>
      </c>
      <c r="E136" s="1" t="s">
        <v>705</v>
      </c>
      <c r="F136" s="3">
        <v>29656</v>
      </c>
      <c r="G136" s="1" t="s">
        <v>17</v>
      </c>
      <c r="H136" s="1" t="s">
        <v>349</v>
      </c>
      <c r="I136" s="3">
        <v>43709</v>
      </c>
      <c r="J136" s="3"/>
      <c r="K136" s="1" t="s">
        <v>361</v>
      </c>
      <c r="L136" s="1" t="s">
        <v>356</v>
      </c>
      <c r="M136" s="1" t="s">
        <v>700</v>
      </c>
      <c r="N136" s="1" t="s">
        <v>352</v>
      </c>
      <c r="O136" s="1" t="s">
        <v>364</v>
      </c>
      <c r="P136" s="1">
        <v>2.5</v>
      </c>
      <c r="Q136" s="1">
        <v>4</v>
      </c>
      <c r="R136" s="1">
        <v>0</v>
      </c>
      <c r="S136" s="3">
        <v>44166</v>
      </c>
      <c r="T136" s="7">
        <f t="shared" si="2"/>
        <v>4.3369863013698629</v>
      </c>
    </row>
    <row r="137" spans="1:20" x14ac:dyDescent="0.3">
      <c r="A137" s="1" t="s">
        <v>532</v>
      </c>
      <c r="B137" s="1" t="s">
        <v>149</v>
      </c>
      <c r="C137" s="1" t="s">
        <v>16</v>
      </c>
      <c r="D137" s="2">
        <v>6380</v>
      </c>
      <c r="E137" s="1" t="s">
        <v>705</v>
      </c>
      <c r="F137" s="3">
        <v>33353</v>
      </c>
      <c r="G137" s="1" t="s">
        <v>17</v>
      </c>
      <c r="H137" s="1" t="s">
        <v>7</v>
      </c>
      <c r="I137" s="3">
        <v>42976</v>
      </c>
      <c r="J137" s="3"/>
      <c r="K137" s="1" t="s">
        <v>361</v>
      </c>
      <c r="L137" s="1" t="s">
        <v>356</v>
      </c>
      <c r="M137" s="1" t="s">
        <v>700</v>
      </c>
      <c r="N137" s="1" t="s">
        <v>353</v>
      </c>
      <c r="O137" s="1" t="s">
        <v>364</v>
      </c>
      <c r="P137" s="1">
        <v>2.08</v>
      </c>
      <c r="Q137" s="1">
        <v>3</v>
      </c>
      <c r="R137" s="1">
        <v>0</v>
      </c>
      <c r="S137" s="3">
        <v>44166</v>
      </c>
      <c r="T137" s="7">
        <f t="shared" si="2"/>
        <v>6.3452054794520549</v>
      </c>
    </row>
    <row r="138" spans="1:20" x14ac:dyDescent="0.3">
      <c r="A138" s="1" t="s">
        <v>533</v>
      </c>
      <c r="B138" s="1" t="s">
        <v>150</v>
      </c>
      <c r="C138" s="1" t="s">
        <v>16</v>
      </c>
      <c r="D138" s="2">
        <v>5720</v>
      </c>
      <c r="E138" s="1" t="s">
        <v>705</v>
      </c>
      <c r="F138" s="3">
        <v>30181</v>
      </c>
      <c r="G138" s="1" t="s">
        <v>17</v>
      </c>
      <c r="H138" s="1" t="s">
        <v>7</v>
      </c>
      <c r="I138" s="3">
        <v>43193</v>
      </c>
      <c r="J138" s="3"/>
      <c r="K138" s="1" t="s">
        <v>361</v>
      </c>
      <c r="L138" s="1" t="s">
        <v>356</v>
      </c>
      <c r="M138" s="1" t="s">
        <v>700</v>
      </c>
      <c r="N138" s="1" t="s">
        <v>352</v>
      </c>
      <c r="O138" s="1" t="s">
        <v>364</v>
      </c>
      <c r="P138" s="1">
        <v>3.25</v>
      </c>
      <c r="Q138" s="1">
        <v>5</v>
      </c>
      <c r="R138" s="1">
        <v>0</v>
      </c>
      <c r="S138" s="3">
        <v>44166</v>
      </c>
      <c r="T138" s="7">
        <f t="shared" si="2"/>
        <v>5.7506849315068491</v>
      </c>
    </row>
    <row r="139" spans="1:20" x14ac:dyDescent="0.3">
      <c r="A139" s="1" t="s">
        <v>534</v>
      </c>
      <c r="B139" s="1" t="s">
        <v>151</v>
      </c>
      <c r="C139" s="1" t="s">
        <v>13</v>
      </c>
      <c r="D139" s="2">
        <v>4950</v>
      </c>
      <c r="E139" s="1" t="s">
        <v>705</v>
      </c>
      <c r="F139" s="3">
        <v>33399</v>
      </c>
      <c r="G139" s="1" t="s">
        <v>1</v>
      </c>
      <c r="H139" s="1" t="s">
        <v>349</v>
      </c>
      <c r="I139" s="3">
        <v>43226</v>
      </c>
      <c r="J139" s="3"/>
      <c r="K139" s="1" t="s">
        <v>361</v>
      </c>
      <c r="L139" s="1" t="s">
        <v>356</v>
      </c>
      <c r="M139" s="1" t="s">
        <v>700</v>
      </c>
      <c r="N139" s="1" t="s">
        <v>351</v>
      </c>
      <c r="O139" s="1" t="s">
        <v>366</v>
      </c>
      <c r="P139" s="1">
        <v>4.5999999999999996</v>
      </c>
      <c r="Q139" s="1">
        <v>4</v>
      </c>
      <c r="R139" s="1">
        <v>0</v>
      </c>
      <c r="S139" s="3">
        <v>44166</v>
      </c>
      <c r="T139" s="7">
        <f t="shared" si="2"/>
        <v>5.6602739726027398</v>
      </c>
    </row>
    <row r="140" spans="1:20" x14ac:dyDescent="0.3">
      <c r="A140" s="1" t="s">
        <v>535</v>
      </c>
      <c r="B140" s="1" t="s">
        <v>152</v>
      </c>
      <c r="C140" s="1" t="s">
        <v>16</v>
      </c>
      <c r="D140" s="2">
        <v>5720</v>
      </c>
      <c r="E140" s="1" t="s">
        <v>705</v>
      </c>
      <c r="F140" s="3">
        <v>33743</v>
      </c>
      <c r="G140" s="1" t="s">
        <v>1</v>
      </c>
      <c r="H140" s="1" t="s">
        <v>349</v>
      </c>
      <c r="I140" s="3">
        <v>44649</v>
      </c>
      <c r="J140" s="3"/>
      <c r="K140" s="1" t="s">
        <v>361</v>
      </c>
      <c r="L140" s="1" t="s">
        <v>356</v>
      </c>
      <c r="M140" s="1" t="s">
        <v>700</v>
      </c>
      <c r="N140" s="1" t="s">
        <v>353</v>
      </c>
      <c r="O140" s="1" t="s">
        <v>364</v>
      </c>
      <c r="P140" s="1">
        <v>5</v>
      </c>
      <c r="Q140" s="1">
        <v>5</v>
      </c>
      <c r="R140" s="1">
        <v>0</v>
      </c>
      <c r="S140" s="3">
        <v>44166</v>
      </c>
      <c r="T140" s="7">
        <f t="shared" si="2"/>
        <v>1.7616438356164383</v>
      </c>
    </row>
    <row r="141" spans="1:20" x14ac:dyDescent="0.3">
      <c r="A141" s="1" t="s">
        <v>536</v>
      </c>
      <c r="B141" s="1" t="s">
        <v>153</v>
      </c>
      <c r="C141" s="1" t="s">
        <v>16</v>
      </c>
      <c r="D141" s="2">
        <v>4840</v>
      </c>
      <c r="E141" s="1" t="s">
        <v>705</v>
      </c>
      <c r="F141" s="3">
        <v>29860</v>
      </c>
      <c r="G141" s="1" t="s">
        <v>17</v>
      </c>
      <c r="H141" s="1" t="s">
        <v>349</v>
      </c>
      <c r="I141" s="3">
        <v>44425</v>
      </c>
      <c r="J141" s="3"/>
      <c r="K141" s="1" t="s">
        <v>361</v>
      </c>
      <c r="L141" s="1" t="s">
        <v>356</v>
      </c>
      <c r="M141" s="1" t="s">
        <v>700</v>
      </c>
      <c r="N141" s="1" t="s">
        <v>701</v>
      </c>
      <c r="O141" s="1" t="s">
        <v>364</v>
      </c>
      <c r="P141" s="1">
        <v>3.11</v>
      </c>
      <c r="Q141" s="1">
        <v>5</v>
      </c>
      <c r="R141" s="1">
        <v>0</v>
      </c>
      <c r="S141" s="3">
        <v>44166</v>
      </c>
      <c r="T141" s="7">
        <f t="shared" si="2"/>
        <v>2.3753424657534246</v>
      </c>
    </row>
    <row r="142" spans="1:20" x14ac:dyDescent="0.3">
      <c r="A142" s="1" t="s">
        <v>537</v>
      </c>
      <c r="B142" s="1">
        <v>1201431274</v>
      </c>
      <c r="C142" s="1" t="s">
        <v>16</v>
      </c>
      <c r="D142" s="2">
        <v>5500</v>
      </c>
      <c r="E142" s="1" t="s">
        <v>705</v>
      </c>
      <c r="F142" s="3">
        <v>30937</v>
      </c>
      <c r="G142" s="1" t="s">
        <v>17</v>
      </c>
      <c r="H142" s="1" t="s">
        <v>349</v>
      </c>
      <c r="I142" s="3">
        <v>43291</v>
      </c>
      <c r="J142" s="3"/>
      <c r="K142" s="1" t="s">
        <v>361</v>
      </c>
      <c r="L142" s="1" t="s">
        <v>356</v>
      </c>
      <c r="M142" s="1" t="s">
        <v>700</v>
      </c>
      <c r="N142" s="1" t="s">
        <v>353</v>
      </c>
      <c r="O142" s="1" t="s">
        <v>364</v>
      </c>
      <c r="P142" s="1">
        <v>3.96</v>
      </c>
      <c r="Q142" s="1">
        <v>4</v>
      </c>
      <c r="R142" s="1">
        <v>0</v>
      </c>
      <c r="S142" s="3">
        <v>44166</v>
      </c>
      <c r="T142" s="7">
        <f t="shared" si="2"/>
        <v>5.4821917808219176</v>
      </c>
    </row>
    <row r="143" spans="1:20" x14ac:dyDescent="0.3">
      <c r="A143" s="1" t="s">
        <v>538</v>
      </c>
      <c r="B143" s="1" t="s">
        <v>154</v>
      </c>
      <c r="C143" s="1" t="s">
        <v>16</v>
      </c>
      <c r="D143" s="2">
        <v>5940</v>
      </c>
      <c r="E143" s="1" t="s">
        <v>705</v>
      </c>
      <c r="F143" s="3">
        <v>32365</v>
      </c>
      <c r="G143" s="1" t="s">
        <v>1</v>
      </c>
      <c r="H143" s="1" t="s">
        <v>349</v>
      </c>
      <c r="I143" s="3">
        <v>44103</v>
      </c>
      <c r="J143" s="3"/>
      <c r="K143" s="1" t="s">
        <v>361</v>
      </c>
      <c r="L143" s="1" t="s">
        <v>356</v>
      </c>
      <c r="M143" s="1" t="s">
        <v>700</v>
      </c>
      <c r="N143" s="1" t="s">
        <v>701</v>
      </c>
      <c r="O143" s="1" t="s">
        <v>364</v>
      </c>
      <c r="P143" s="1">
        <v>2.57</v>
      </c>
      <c r="Q143" s="1">
        <v>5</v>
      </c>
      <c r="R143" s="1">
        <v>0</v>
      </c>
      <c r="S143" s="3">
        <v>44166</v>
      </c>
      <c r="T143" s="7">
        <f t="shared" si="2"/>
        <v>3.2575342465753425</v>
      </c>
    </row>
    <row r="144" spans="1:20" x14ac:dyDescent="0.3">
      <c r="A144" s="1" t="s">
        <v>539</v>
      </c>
      <c r="B144" s="1" t="s">
        <v>155</v>
      </c>
      <c r="C144" s="1" t="s">
        <v>13</v>
      </c>
      <c r="D144" s="2">
        <v>5500</v>
      </c>
      <c r="E144" s="1" t="s">
        <v>705</v>
      </c>
      <c r="F144" s="3">
        <v>27507</v>
      </c>
      <c r="G144" s="1" t="s">
        <v>1</v>
      </c>
      <c r="H144" s="1" t="s">
        <v>349</v>
      </c>
      <c r="I144" s="3">
        <v>43963</v>
      </c>
      <c r="J144" s="3"/>
      <c r="K144" s="1" t="s">
        <v>361</v>
      </c>
      <c r="L144" s="1" t="s">
        <v>356</v>
      </c>
      <c r="M144" s="1" t="s">
        <v>700</v>
      </c>
      <c r="N144" s="1" t="s">
        <v>351</v>
      </c>
      <c r="O144" s="1" t="s">
        <v>366</v>
      </c>
      <c r="P144" s="1">
        <v>2.5499999999999998</v>
      </c>
      <c r="Q144" s="1">
        <v>2.5</v>
      </c>
      <c r="R144" s="1">
        <v>0</v>
      </c>
      <c r="S144" s="3">
        <v>44166</v>
      </c>
      <c r="T144" s="7">
        <f t="shared" si="2"/>
        <v>3.6410958904109587</v>
      </c>
    </row>
    <row r="145" spans="1:20" x14ac:dyDescent="0.3">
      <c r="A145" s="1" t="s">
        <v>540</v>
      </c>
      <c r="B145" s="1" t="s">
        <v>156</v>
      </c>
      <c r="C145" s="1" t="s">
        <v>16</v>
      </c>
      <c r="D145" s="2">
        <v>5335</v>
      </c>
      <c r="E145" s="1" t="s">
        <v>705</v>
      </c>
      <c r="F145" s="3">
        <v>33181</v>
      </c>
      <c r="G145" s="1" t="s">
        <v>17</v>
      </c>
      <c r="H145" s="1" t="s">
        <v>349</v>
      </c>
      <c r="I145" s="3">
        <v>44383</v>
      </c>
      <c r="J145" s="3"/>
      <c r="K145" s="1" t="s">
        <v>361</v>
      </c>
      <c r="L145" s="1" t="s">
        <v>356</v>
      </c>
      <c r="M145" s="1" t="s">
        <v>700</v>
      </c>
      <c r="N145" s="1" t="s">
        <v>701</v>
      </c>
      <c r="O145" s="1" t="s">
        <v>364</v>
      </c>
      <c r="P145" s="1">
        <v>4.07</v>
      </c>
      <c r="Q145" s="1">
        <v>4</v>
      </c>
      <c r="R145" s="1">
        <v>0</v>
      </c>
      <c r="S145" s="3">
        <v>44166</v>
      </c>
      <c r="T145" s="7">
        <f t="shared" si="2"/>
        <v>2.4904109589041097</v>
      </c>
    </row>
    <row r="146" spans="1:20" x14ac:dyDescent="0.3">
      <c r="A146" s="1" t="s">
        <v>541</v>
      </c>
      <c r="B146" s="1" t="s">
        <v>157</v>
      </c>
      <c r="C146" s="1" t="s">
        <v>27</v>
      </c>
      <c r="D146" s="2">
        <v>5940</v>
      </c>
      <c r="E146" s="1" t="s">
        <v>705</v>
      </c>
      <c r="F146" s="3">
        <v>34962</v>
      </c>
      <c r="G146" s="1" t="s">
        <v>1</v>
      </c>
      <c r="H146" s="1" t="s">
        <v>349</v>
      </c>
      <c r="I146" s="3">
        <v>43193</v>
      </c>
      <c r="J146" s="3"/>
      <c r="K146" s="1" t="s">
        <v>361</v>
      </c>
      <c r="L146" s="1" t="s">
        <v>356</v>
      </c>
      <c r="M146" s="1" t="s">
        <v>700</v>
      </c>
      <c r="N146" s="1" t="s">
        <v>351</v>
      </c>
      <c r="O146" s="1" t="s">
        <v>365</v>
      </c>
      <c r="P146" s="1">
        <v>1.1599999999999999</v>
      </c>
      <c r="Q146" s="1">
        <v>3</v>
      </c>
      <c r="R146" s="1">
        <v>0</v>
      </c>
      <c r="S146" s="3">
        <v>44166</v>
      </c>
      <c r="T146" s="7">
        <f t="shared" si="2"/>
        <v>5.7506849315068491</v>
      </c>
    </row>
    <row r="147" spans="1:20" x14ac:dyDescent="0.3">
      <c r="A147" s="1" t="s">
        <v>542</v>
      </c>
      <c r="B147" s="1" t="s">
        <v>158</v>
      </c>
      <c r="C147" s="1" t="s">
        <v>19</v>
      </c>
      <c r="D147" s="2">
        <v>5280</v>
      </c>
      <c r="E147" s="1" t="s">
        <v>705</v>
      </c>
      <c r="F147" s="3">
        <v>34570</v>
      </c>
      <c r="G147" s="1" t="s">
        <v>1</v>
      </c>
      <c r="H147" s="1" t="s">
        <v>349</v>
      </c>
      <c r="I147" s="3">
        <v>44383</v>
      </c>
      <c r="J147" s="3"/>
      <c r="K147" s="1" t="s">
        <v>361</v>
      </c>
      <c r="L147" s="1" t="s">
        <v>356</v>
      </c>
      <c r="M147" s="1" t="s">
        <v>700</v>
      </c>
      <c r="N147" s="1" t="s">
        <v>353</v>
      </c>
      <c r="O147" s="1" t="s">
        <v>365</v>
      </c>
      <c r="P147" s="1">
        <v>4.59</v>
      </c>
      <c r="Q147" s="1">
        <v>1</v>
      </c>
      <c r="R147" s="1">
        <v>0</v>
      </c>
      <c r="S147" s="3">
        <v>44166</v>
      </c>
      <c r="T147" s="7">
        <f t="shared" si="2"/>
        <v>2.4904109589041097</v>
      </c>
    </row>
    <row r="148" spans="1:20" x14ac:dyDescent="0.3">
      <c r="A148" s="1" t="s">
        <v>543</v>
      </c>
      <c r="B148" s="1" t="s">
        <v>159</v>
      </c>
      <c r="C148" s="1" t="s">
        <v>16</v>
      </c>
      <c r="D148" s="2">
        <v>6380</v>
      </c>
      <c r="E148" s="1" t="s">
        <v>705</v>
      </c>
      <c r="F148" s="3">
        <v>28866</v>
      </c>
      <c r="G148" s="1" t="s">
        <v>17</v>
      </c>
      <c r="H148" s="1" t="s">
        <v>349</v>
      </c>
      <c r="I148" s="3">
        <v>43963</v>
      </c>
      <c r="J148" s="3"/>
      <c r="K148" s="1" t="s">
        <v>361</v>
      </c>
      <c r="L148" s="1" t="s">
        <v>356</v>
      </c>
      <c r="M148" s="1" t="s">
        <v>700</v>
      </c>
      <c r="N148" s="1" t="s">
        <v>352</v>
      </c>
      <c r="O148" s="1" t="s">
        <v>364</v>
      </c>
      <c r="P148" s="1">
        <v>4.29</v>
      </c>
      <c r="Q148" s="1">
        <v>5</v>
      </c>
      <c r="R148" s="1">
        <v>0</v>
      </c>
      <c r="S148" s="3">
        <v>44166</v>
      </c>
      <c r="T148" s="7">
        <f t="shared" si="2"/>
        <v>3.6410958904109587</v>
      </c>
    </row>
    <row r="149" spans="1:20" x14ac:dyDescent="0.3">
      <c r="A149" s="1" t="s">
        <v>544</v>
      </c>
      <c r="B149" s="1" t="s">
        <v>160</v>
      </c>
      <c r="C149" s="1" t="s">
        <v>16</v>
      </c>
      <c r="D149" s="2">
        <v>4840</v>
      </c>
      <c r="E149" s="1" t="s">
        <v>705</v>
      </c>
      <c r="F149" s="3">
        <v>32350</v>
      </c>
      <c r="G149" s="1" t="s">
        <v>17</v>
      </c>
      <c r="H149" s="1" t="s">
        <v>349</v>
      </c>
      <c r="I149" s="3">
        <v>44467</v>
      </c>
      <c r="J149" s="3"/>
      <c r="K149" s="1" t="s">
        <v>361</v>
      </c>
      <c r="L149" s="1" t="s">
        <v>356</v>
      </c>
      <c r="M149" s="1" t="s">
        <v>700</v>
      </c>
      <c r="N149" s="1" t="s">
        <v>701</v>
      </c>
      <c r="O149" s="1" t="s">
        <v>364</v>
      </c>
      <c r="P149" s="1">
        <v>3.19</v>
      </c>
      <c r="Q149" s="1">
        <v>3</v>
      </c>
      <c r="R149" s="1">
        <v>0</v>
      </c>
      <c r="S149" s="3">
        <v>44166</v>
      </c>
      <c r="T149" s="7">
        <f t="shared" si="2"/>
        <v>2.2602739726027399</v>
      </c>
    </row>
    <row r="150" spans="1:20" x14ac:dyDescent="0.3">
      <c r="A150" s="1" t="s">
        <v>545</v>
      </c>
      <c r="B150" s="1" t="s">
        <v>161</v>
      </c>
      <c r="C150" s="1" t="s">
        <v>16</v>
      </c>
      <c r="D150" s="2">
        <v>5280</v>
      </c>
      <c r="E150" s="1" t="s">
        <v>705</v>
      </c>
      <c r="F150" s="3">
        <v>33872</v>
      </c>
      <c r="G150" s="1" t="s">
        <v>1</v>
      </c>
      <c r="H150" s="1" t="s">
        <v>349</v>
      </c>
      <c r="I150" s="3">
        <v>44243</v>
      </c>
      <c r="J150" s="3"/>
      <c r="K150" s="1" t="s">
        <v>361</v>
      </c>
      <c r="L150" s="1" t="s">
        <v>356</v>
      </c>
      <c r="M150" s="1" t="s">
        <v>700</v>
      </c>
      <c r="N150" s="1" t="s">
        <v>353</v>
      </c>
      <c r="O150" s="1" t="s">
        <v>364</v>
      </c>
      <c r="P150" s="1">
        <v>4</v>
      </c>
      <c r="Q150" s="1">
        <v>4</v>
      </c>
      <c r="R150" s="1">
        <v>0</v>
      </c>
      <c r="S150" s="3">
        <v>44166</v>
      </c>
      <c r="T150" s="7">
        <f t="shared" si="2"/>
        <v>2.8739726027397259</v>
      </c>
    </row>
    <row r="151" spans="1:20" x14ac:dyDescent="0.3">
      <c r="A151" s="1" t="s">
        <v>546</v>
      </c>
      <c r="B151" s="1" t="s">
        <v>162</v>
      </c>
      <c r="C151" s="1" t="s">
        <v>16</v>
      </c>
      <c r="D151" s="2">
        <v>6160</v>
      </c>
      <c r="E151" s="1" t="s">
        <v>705</v>
      </c>
      <c r="F151" s="3">
        <v>35615</v>
      </c>
      <c r="G151" s="1" t="s">
        <v>1</v>
      </c>
      <c r="H151" s="1" t="s">
        <v>349</v>
      </c>
      <c r="I151" s="3">
        <v>44686</v>
      </c>
      <c r="J151" s="3"/>
      <c r="K151" s="1" t="s">
        <v>361</v>
      </c>
      <c r="L151" s="1" t="s">
        <v>356</v>
      </c>
      <c r="M151" s="1" t="s">
        <v>700</v>
      </c>
      <c r="N151" s="1" t="s">
        <v>352</v>
      </c>
      <c r="O151" s="1" t="s">
        <v>364</v>
      </c>
      <c r="P151" s="1">
        <v>2.63</v>
      </c>
      <c r="Q151" s="1">
        <v>3</v>
      </c>
      <c r="R151" s="1">
        <v>0</v>
      </c>
      <c r="S151" s="3">
        <v>44166</v>
      </c>
      <c r="T151" s="7">
        <f t="shared" si="2"/>
        <v>1.6602739726027398</v>
      </c>
    </row>
    <row r="152" spans="1:20" x14ac:dyDescent="0.3">
      <c r="A152" s="1" t="s">
        <v>547</v>
      </c>
      <c r="B152" s="1" t="s">
        <v>163</v>
      </c>
      <c r="C152" s="1" t="s">
        <v>16</v>
      </c>
      <c r="D152" s="2">
        <v>5060</v>
      </c>
      <c r="E152" s="1" t="s">
        <v>705</v>
      </c>
      <c r="F152" s="3">
        <v>29822</v>
      </c>
      <c r="G152" s="1" t="s">
        <v>1</v>
      </c>
      <c r="H152" s="1" t="s">
        <v>7</v>
      </c>
      <c r="I152" s="3">
        <v>45143</v>
      </c>
      <c r="J152" s="3"/>
      <c r="K152" s="1" t="s">
        <v>361</v>
      </c>
      <c r="L152" s="1" t="s">
        <v>356</v>
      </c>
      <c r="M152" s="1" t="s">
        <v>700</v>
      </c>
      <c r="N152" s="1" t="s">
        <v>701</v>
      </c>
      <c r="O152" s="1" t="s">
        <v>364</v>
      </c>
      <c r="P152" s="1">
        <v>5</v>
      </c>
      <c r="Q152" s="1">
        <v>3</v>
      </c>
      <c r="R152" s="1">
        <v>0</v>
      </c>
      <c r="S152" s="3">
        <v>44166</v>
      </c>
      <c r="T152" s="7">
        <f t="shared" si="2"/>
        <v>0.40821917808219177</v>
      </c>
    </row>
    <row r="153" spans="1:20" x14ac:dyDescent="0.3">
      <c r="A153" s="1" t="s">
        <v>548</v>
      </c>
      <c r="B153" s="1" t="s">
        <v>164</v>
      </c>
      <c r="C153" s="1" t="s">
        <v>16</v>
      </c>
      <c r="D153" s="2">
        <v>11880</v>
      </c>
      <c r="E153" s="1" t="s">
        <v>327</v>
      </c>
      <c r="F153" s="3">
        <v>34807</v>
      </c>
      <c r="G153" s="1" t="s">
        <v>1</v>
      </c>
      <c r="H153" s="1" t="s">
        <v>349</v>
      </c>
      <c r="I153" s="3">
        <v>44320</v>
      </c>
      <c r="J153" s="3"/>
      <c r="K153" s="1" t="s">
        <v>361</v>
      </c>
      <c r="L153" s="1" t="s">
        <v>356</v>
      </c>
      <c r="M153" s="1" t="s">
        <v>350</v>
      </c>
      <c r="N153" s="1" t="s">
        <v>353</v>
      </c>
      <c r="O153" s="1" t="s">
        <v>364</v>
      </c>
      <c r="P153" s="1">
        <v>4.62</v>
      </c>
      <c r="Q153" s="1">
        <v>4</v>
      </c>
      <c r="R153" s="1">
        <v>0</v>
      </c>
      <c r="S153" s="3">
        <v>44166</v>
      </c>
      <c r="T153" s="7">
        <f t="shared" si="2"/>
        <v>2.6630136986301371</v>
      </c>
    </row>
    <row r="154" spans="1:20" x14ac:dyDescent="0.3">
      <c r="A154" s="1" t="s">
        <v>549</v>
      </c>
      <c r="B154" s="1" t="s">
        <v>165</v>
      </c>
      <c r="C154" s="1" t="s">
        <v>27</v>
      </c>
      <c r="D154" s="2">
        <v>12320</v>
      </c>
      <c r="E154" s="1" t="s">
        <v>327</v>
      </c>
      <c r="F154" s="3">
        <v>32735</v>
      </c>
      <c r="G154" s="1" t="s">
        <v>17</v>
      </c>
      <c r="H154" s="1" t="s">
        <v>349</v>
      </c>
      <c r="I154" s="3">
        <v>44333</v>
      </c>
      <c r="J154" s="3"/>
      <c r="K154" s="1" t="s">
        <v>361</v>
      </c>
      <c r="L154" s="1" t="s">
        <v>356</v>
      </c>
      <c r="M154" s="1" t="s">
        <v>350</v>
      </c>
      <c r="N154" s="1" t="s">
        <v>353</v>
      </c>
      <c r="O154" s="1" t="s">
        <v>365</v>
      </c>
      <c r="P154" s="1">
        <v>1.62</v>
      </c>
      <c r="Q154" s="1">
        <v>3</v>
      </c>
      <c r="R154" s="1">
        <v>0</v>
      </c>
      <c r="S154" s="3">
        <v>44166</v>
      </c>
      <c r="T154" s="7">
        <f t="shared" si="2"/>
        <v>2.6273972602739728</v>
      </c>
    </row>
    <row r="155" spans="1:20" x14ac:dyDescent="0.3">
      <c r="A155" s="1" t="s">
        <v>550</v>
      </c>
      <c r="B155" s="1" t="s">
        <v>166</v>
      </c>
      <c r="C155" s="1" t="s">
        <v>16</v>
      </c>
      <c r="D155" s="2">
        <v>12100</v>
      </c>
      <c r="E155" s="1" t="s">
        <v>329</v>
      </c>
      <c r="F155" s="3">
        <v>32786</v>
      </c>
      <c r="G155" s="1" t="s">
        <v>17</v>
      </c>
      <c r="H155" s="1" t="s">
        <v>7</v>
      </c>
      <c r="I155" s="3">
        <v>45047</v>
      </c>
      <c r="J155" s="3"/>
      <c r="K155" s="1" t="s">
        <v>361</v>
      </c>
      <c r="L155" s="1" t="s">
        <v>356</v>
      </c>
      <c r="M155" s="1" t="s">
        <v>8</v>
      </c>
      <c r="N155" s="1" t="s">
        <v>353</v>
      </c>
      <c r="O155" s="1" t="s">
        <v>364</v>
      </c>
      <c r="P155" s="1">
        <v>1.95</v>
      </c>
      <c r="Q155" s="1">
        <v>4</v>
      </c>
      <c r="R155" s="1">
        <v>0</v>
      </c>
      <c r="S155" s="3">
        <v>44166</v>
      </c>
      <c r="T155" s="7">
        <f t="shared" si="2"/>
        <v>0.67123287671232879</v>
      </c>
    </row>
    <row r="156" spans="1:20" x14ac:dyDescent="0.3">
      <c r="A156" s="1" t="s">
        <v>551</v>
      </c>
      <c r="B156" s="1" t="s">
        <v>167</v>
      </c>
      <c r="C156" s="1" t="s">
        <v>16</v>
      </c>
      <c r="D156" s="2">
        <v>6270</v>
      </c>
      <c r="E156" s="1" t="s">
        <v>320</v>
      </c>
      <c r="F156" s="3">
        <v>33930</v>
      </c>
      <c r="G156" s="1" t="s">
        <v>1</v>
      </c>
      <c r="H156" s="1" t="s">
        <v>7</v>
      </c>
      <c r="I156" s="3">
        <v>42304</v>
      </c>
      <c r="J156" s="3"/>
      <c r="K156" s="1" t="s">
        <v>361</v>
      </c>
      <c r="L156" s="1" t="s">
        <v>356</v>
      </c>
      <c r="M156" s="1" t="s">
        <v>8</v>
      </c>
      <c r="N156" s="1" t="s">
        <v>352</v>
      </c>
      <c r="O156" s="1" t="s">
        <v>364</v>
      </c>
      <c r="P156" s="1">
        <v>2.04</v>
      </c>
      <c r="Q156" s="1">
        <v>2</v>
      </c>
      <c r="R156" s="1">
        <v>6</v>
      </c>
      <c r="S156" s="3">
        <v>44166</v>
      </c>
      <c r="T156" s="7">
        <f t="shared" si="2"/>
        <v>8.1863013698630134</v>
      </c>
    </row>
    <row r="157" spans="1:20" x14ac:dyDescent="0.3">
      <c r="A157" s="1" t="s">
        <v>552</v>
      </c>
      <c r="B157" s="1" t="s">
        <v>168</v>
      </c>
      <c r="C157" s="1" t="s">
        <v>16</v>
      </c>
      <c r="D157" s="2">
        <v>5060</v>
      </c>
      <c r="E157" s="1" t="s">
        <v>320</v>
      </c>
      <c r="F157" s="3">
        <v>32623</v>
      </c>
      <c r="G157" s="1" t="s">
        <v>17</v>
      </c>
      <c r="H157" s="1" t="s">
        <v>349</v>
      </c>
      <c r="I157" s="3">
        <v>44347</v>
      </c>
      <c r="J157" s="3"/>
      <c r="K157" s="1" t="s">
        <v>361</v>
      </c>
      <c r="L157" s="1" t="s">
        <v>356</v>
      </c>
      <c r="M157" s="1" t="s">
        <v>8</v>
      </c>
      <c r="N157" s="1" t="s">
        <v>353</v>
      </c>
      <c r="O157" s="1" t="s">
        <v>364</v>
      </c>
      <c r="P157" s="1">
        <v>5</v>
      </c>
      <c r="Q157" s="1">
        <v>4</v>
      </c>
      <c r="R157" s="1">
        <v>4</v>
      </c>
      <c r="S157" s="3">
        <v>44166</v>
      </c>
      <c r="T157" s="7">
        <f t="shared" si="2"/>
        <v>2.5890410958904111</v>
      </c>
    </row>
    <row r="158" spans="1:20" x14ac:dyDescent="0.3">
      <c r="A158" s="1" t="s">
        <v>553</v>
      </c>
      <c r="B158" s="1" t="s">
        <v>169</v>
      </c>
      <c r="C158" s="1" t="s">
        <v>16</v>
      </c>
      <c r="D158" s="2">
        <v>6380</v>
      </c>
      <c r="E158" s="1" t="s">
        <v>320</v>
      </c>
      <c r="F158" s="3">
        <v>33246</v>
      </c>
      <c r="G158" s="1" t="s">
        <v>17</v>
      </c>
      <c r="H158" s="1" t="s">
        <v>349</v>
      </c>
      <c r="I158" s="3">
        <v>44467</v>
      </c>
      <c r="J158" s="3"/>
      <c r="K158" s="1" t="s">
        <v>361</v>
      </c>
      <c r="L158" s="1" t="s">
        <v>356</v>
      </c>
      <c r="M158" s="1" t="s">
        <v>8</v>
      </c>
      <c r="N158" s="1" t="s">
        <v>353</v>
      </c>
      <c r="O158" s="1" t="s">
        <v>364</v>
      </c>
      <c r="P158" s="1">
        <v>3.9</v>
      </c>
      <c r="Q158" s="1">
        <v>5</v>
      </c>
      <c r="R158" s="1">
        <v>5</v>
      </c>
      <c r="S158" s="3">
        <v>44166</v>
      </c>
      <c r="T158" s="7">
        <f t="shared" si="2"/>
        <v>2.2602739726027399</v>
      </c>
    </row>
    <row r="159" spans="1:20" x14ac:dyDescent="0.3">
      <c r="A159" s="1" t="s">
        <v>554</v>
      </c>
      <c r="B159" s="1" t="s">
        <v>170</v>
      </c>
      <c r="C159" s="1" t="s">
        <v>16</v>
      </c>
      <c r="D159" s="2">
        <v>3643</v>
      </c>
      <c r="E159" s="1" t="s">
        <v>343</v>
      </c>
      <c r="F159" s="3">
        <v>34107</v>
      </c>
      <c r="G159" s="1" t="s">
        <v>1</v>
      </c>
      <c r="H159" s="1" t="s">
        <v>349</v>
      </c>
      <c r="I159" s="3">
        <v>44565</v>
      </c>
      <c r="J159" s="3"/>
      <c r="K159" s="1" t="s">
        <v>361</v>
      </c>
      <c r="L159" s="1" t="s">
        <v>356</v>
      </c>
      <c r="M159" s="1" t="s">
        <v>8</v>
      </c>
      <c r="N159" s="1" t="s">
        <v>353</v>
      </c>
      <c r="O159" s="1" t="s">
        <v>364</v>
      </c>
      <c r="P159" s="1">
        <v>5</v>
      </c>
      <c r="Q159" s="1">
        <v>3</v>
      </c>
      <c r="R159" s="1">
        <v>5</v>
      </c>
      <c r="S159" s="3">
        <v>44166</v>
      </c>
      <c r="T159" s="7">
        <f t="shared" si="2"/>
        <v>1.9917808219178081</v>
      </c>
    </row>
    <row r="160" spans="1:20" x14ac:dyDescent="0.3">
      <c r="A160" s="1" t="s">
        <v>555</v>
      </c>
      <c r="B160" s="1" t="s">
        <v>171</v>
      </c>
      <c r="C160" s="1" t="s">
        <v>16</v>
      </c>
      <c r="D160" s="2">
        <v>7500</v>
      </c>
      <c r="E160" s="1" t="s">
        <v>321</v>
      </c>
      <c r="F160" s="3">
        <v>31385</v>
      </c>
      <c r="G160" s="1" t="s">
        <v>1</v>
      </c>
      <c r="H160" s="1" t="s">
        <v>7</v>
      </c>
      <c r="I160" s="3">
        <v>44966</v>
      </c>
      <c r="J160" s="3"/>
      <c r="K160" s="1" t="s">
        <v>361</v>
      </c>
      <c r="L160" s="1" t="s">
        <v>356</v>
      </c>
      <c r="M160" s="1" t="s">
        <v>9</v>
      </c>
      <c r="N160" s="1" t="s">
        <v>353</v>
      </c>
      <c r="O160" s="1" t="s">
        <v>364</v>
      </c>
      <c r="P160" s="1">
        <v>2.02</v>
      </c>
      <c r="Q160" s="1">
        <v>4</v>
      </c>
      <c r="R160" s="1">
        <v>6</v>
      </c>
      <c r="S160" s="3">
        <v>44166</v>
      </c>
      <c r="T160" s="7">
        <f t="shared" si="2"/>
        <v>0.89315068493150684</v>
      </c>
    </row>
    <row r="161" spans="1:20" x14ac:dyDescent="0.3">
      <c r="A161" s="1" t="s">
        <v>556</v>
      </c>
      <c r="B161" s="1" t="s">
        <v>172</v>
      </c>
      <c r="C161" s="1" t="s">
        <v>16</v>
      </c>
      <c r="D161" s="2">
        <v>8000</v>
      </c>
      <c r="E161" s="1" t="s">
        <v>321</v>
      </c>
      <c r="F161" s="3">
        <v>32240</v>
      </c>
      <c r="G161" s="1" t="s">
        <v>17</v>
      </c>
      <c r="H161" s="1" t="s">
        <v>349</v>
      </c>
      <c r="I161" s="3">
        <v>44971</v>
      </c>
      <c r="J161" s="3"/>
      <c r="K161" s="1" t="s">
        <v>361</v>
      </c>
      <c r="L161" s="1" t="s">
        <v>356</v>
      </c>
      <c r="M161" s="1" t="s">
        <v>9</v>
      </c>
      <c r="N161" s="1" t="s">
        <v>353</v>
      </c>
      <c r="O161" s="1" t="s">
        <v>364</v>
      </c>
      <c r="P161" s="1">
        <v>3.01</v>
      </c>
      <c r="Q161" s="1">
        <v>5</v>
      </c>
      <c r="R161" s="1">
        <v>7</v>
      </c>
      <c r="S161" s="3">
        <v>44166</v>
      </c>
      <c r="T161" s="7">
        <f t="shared" si="2"/>
        <v>0.8794520547945206</v>
      </c>
    </row>
    <row r="162" spans="1:20" x14ac:dyDescent="0.3">
      <c r="A162" s="1" t="s">
        <v>557</v>
      </c>
      <c r="B162" s="1" t="s">
        <v>173</v>
      </c>
      <c r="C162" s="1" t="s">
        <v>16</v>
      </c>
      <c r="D162" s="2">
        <v>7500</v>
      </c>
      <c r="E162" s="1" t="s">
        <v>321</v>
      </c>
      <c r="F162" s="3">
        <v>33899</v>
      </c>
      <c r="G162" s="1" t="s">
        <v>17</v>
      </c>
      <c r="H162" s="1" t="s">
        <v>7</v>
      </c>
      <c r="I162" s="3">
        <v>45036</v>
      </c>
      <c r="J162" s="3"/>
      <c r="K162" s="1" t="s">
        <v>361</v>
      </c>
      <c r="L162" s="1" t="s">
        <v>356</v>
      </c>
      <c r="M162" s="1" t="s">
        <v>9</v>
      </c>
      <c r="N162" s="1" t="s">
        <v>353</v>
      </c>
      <c r="O162" s="1" t="s">
        <v>364</v>
      </c>
      <c r="P162" s="1">
        <v>1.82</v>
      </c>
      <c r="Q162" s="1">
        <v>3</v>
      </c>
      <c r="R162" s="1">
        <v>6</v>
      </c>
      <c r="S162" s="3">
        <v>44166</v>
      </c>
      <c r="T162" s="7">
        <f t="shared" si="2"/>
        <v>0.70136986301369864</v>
      </c>
    </row>
    <row r="163" spans="1:20" x14ac:dyDescent="0.3">
      <c r="A163" s="1" t="s">
        <v>558</v>
      </c>
      <c r="B163" s="1" t="s">
        <v>174</v>
      </c>
      <c r="C163" s="1" t="s">
        <v>16</v>
      </c>
      <c r="D163" s="2">
        <v>7500</v>
      </c>
      <c r="E163" s="1" t="s">
        <v>321</v>
      </c>
      <c r="F163" s="3">
        <v>34514</v>
      </c>
      <c r="G163" s="1" t="s">
        <v>17</v>
      </c>
      <c r="H163" s="1" t="s">
        <v>7</v>
      </c>
      <c r="I163" s="3">
        <v>45036</v>
      </c>
      <c r="J163" s="3"/>
      <c r="K163" s="1" t="s">
        <v>361</v>
      </c>
      <c r="L163" s="1" t="s">
        <v>356</v>
      </c>
      <c r="M163" s="1" t="s">
        <v>9</v>
      </c>
      <c r="N163" s="1" t="s">
        <v>353</v>
      </c>
      <c r="O163" s="1" t="s">
        <v>364</v>
      </c>
      <c r="P163" s="1">
        <v>2.06</v>
      </c>
      <c r="Q163" s="1">
        <v>5</v>
      </c>
      <c r="R163" s="1">
        <v>5</v>
      </c>
      <c r="S163" s="3">
        <v>44166</v>
      </c>
      <c r="T163" s="7">
        <f t="shared" si="2"/>
        <v>0.70136986301369864</v>
      </c>
    </row>
    <row r="164" spans="1:20" x14ac:dyDescent="0.3">
      <c r="A164" s="1" t="s">
        <v>559</v>
      </c>
      <c r="B164" s="1" t="s">
        <v>175</v>
      </c>
      <c r="C164" s="1" t="s">
        <v>16</v>
      </c>
      <c r="D164" s="2">
        <v>11150</v>
      </c>
      <c r="E164" s="1" t="s">
        <v>330</v>
      </c>
      <c r="F164" s="3">
        <v>28369</v>
      </c>
      <c r="G164" s="1" t="s">
        <v>17</v>
      </c>
      <c r="H164" s="1" t="s">
        <v>7</v>
      </c>
      <c r="I164" s="3">
        <v>45086</v>
      </c>
      <c r="J164" s="3"/>
      <c r="K164" s="1" t="s">
        <v>361</v>
      </c>
      <c r="L164" s="1" t="s">
        <v>356</v>
      </c>
      <c r="M164" s="1" t="s">
        <v>9</v>
      </c>
      <c r="N164" s="1" t="s">
        <v>352</v>
      </c>
      <c r="O164" s="1" t="s">
        <v>364</v>
      </c>
      <c r="P164" s="1">
        <v>4.5</v>
      </c>
      <c r="Q164" s="1">
        <v>5</v>
      </c>
      <c r="R164" s="1">
        <v>7</v>
      </c>
      <c r="S164" s="3">
        <v>44166</v>
      </c>
      <c r="T164" s="7">
        <f t="shared" si="2"/>
        <v>0.56438356164383563</v>
      </c>
    </row>
    <row r="165" spans="1:20" x14ac:dyDescent="0.3">
      <c r="A165" s="1" t="s">
        <v>560</v>
      </c>
      <c r="B165" s="1" t="s">
        <v>176</v>
      </c>
      <c r="C165" s="1" t="s">
        <v>13</v>
      </c>
      <c r="D165" s="2">
        <v>14300</v>
      </c>
      <c r="E165" s="1" t="s">
        <v>345</v>
      </c>
      <c r="F165" s="3">
        <v>30922</v>
      </c>
      <c r="G165" s="1" t="s">
        <v>1</v>
      </c>
      <c r="H165" s="1" t="s">
        <v>349</v>
      </c>
      <c r="I165" s="3">
        <v>43011</v>
      </c>
      <c r="J165" s="3"/>
      <c r="K165" s="1" t="s">
        <v>361</v>
      </c>
      <c r="L165" s="1" t="s">
        <v>356</v>
      </c>
      <c r="M165" s="1" t="s">
        <v>9</v>
      </c>
      <c r="N165" s="1" t="s">
        <v>701</v>
      </c>
      <c r="O165" s="1" t="s">
        <v>366</v>
      </c>
      <c r="P165" s="1">
        <v>1.1200000000000001</v>
      </c>
      <c r="Q165" s="1">
        <v>5</v>
      </c>
      <c r="R165" s="1">
        <v>6</v>
      </c>
      <c r="S165" s="3">
        <v>44166</v>
      </c>
      <c r="T165" s="7">
        <f t="shared" si="2"/>
        <v>6.2493150684931509</v>
      </c>
    </row>
    <row r="166" spans="1:20" x14ac:dyDescent="0.3">
      <c r="A166" s="1" t="s">
        <v>561</v>
      </c>
      <c r="B166" s="1" t="s">
        <v>177</v>
      </c>
      <c r="C166" s="1" t="s">
        <v>16</v>
      </c>
      <c r="D166" s="2">
        <v>12100</v>
      </c>
      <c r="E166" s="1" t="s">
        <v>341</v>
      </c>
      <c r="F166" s="3">
        <v>28449</v>
      </c>
      <c r="G166" s="1" t="s">
        <v>1</v>
      </c>
      <c r="H166" s="1" t="s">
        <v>349</v>
      </c>
      <c r="I166" s="3">
        <v>44926</v>
      </c>
      <c r="J166" s="3"/>
      <c r="K166" s="1" t="s">
        <v>361</v>
      </c>
      <c r="L166" s="1" t="s">
        <v>356</v>
      </c>
      <c r="M166" s="1" t="s">
        <v>9</v>
      </c>
      <c r="N166" s="1" t="s">
        <v>353</v>
      </c>
      <c r="O166" s="1" t="s">
        <v>364</v>
      </c>
      <c r="P166" s="1">
        <v>4.9400000000000004</v>
      </c>
      <c r="Q166" s="1">
        <v>3</v>
      </c>
      <c r="R166" s="1">
        <v>5</v>
      </c>
      <c r="S166" s="3">
        <v>44166</v>
      </c>
      <c r="T166" s="7">
        <f t="shared" si="2"/>
        <v>1.0027397260273974</v>
      </c>
    </row>
    <row r="167" spans="1:20" x14ac:dyDescent="0.3">
      <c r="A167" s="1" t="s">
        <v>562</v>
      </c>
      <c r="B167" s="1" t="s">
        <v>178</v>
      </c>
      <c r="C167" s="1" t="s">
        <v>16</v>
      </c>
      <c r="D167" s="2">
        <v>7480</v>
      </c>
      <c r="E167" s="1" t="s">
        <v>332</v>
      </c>
      <c r="F167" s="3">
        <v>32558</v>
      </c>
      <c r="G167" s="1" t="s">
        <v>1</v>
      </c>
      <c r="H167" s="1" t="s">
        <v>349</v>
      </c>
      <c r="I167" s="3">
        <v>44649</v>
      </c>
      <c r="J167" s="3"/>
      <c r="K167" s="1" t="s">
        <v>361</v>
      </c>
      <c r="L167" s="1" t="s">
        <v>356</v>
      </c>
      <c r="M167" s="1" t="s">
        <v>9</v>
      </c>
      <c r="N167" s="1" t="s">
        <v>353</v>
      </c>
      <c r="O167" s="1" t="s">
        <v>364</v>
      </c>
      <c r="P167" s="1">
        <v>4.4800000000000004</v>
      </c>
      <c r="Q167" s="1">
        <v>5</v>
      </c>
      <c r="R167" s="1">
        <v>6</v>
      </c>
      <c r="S167" s="3">
        <v>44166</v>
      </c>
      <c r="T167" s="7">
        <f t="shared" si="2"/>
        <v>1.7616438356164383</v>
      </c>
    </row>
    <row r="168" spans="1:20" x14ac:dyDescent="0.3">
      <c r="A168" s="1" t="s">
        <v>563</v>
      </c>
      <c r="B168" s="1" t="s">
        <v>179</v>
      </c>
      <c r="C168" s="1" t="s">
        <v>16</v>
      </c>
      <c r="D168" s="2">
        <v>8800</v>
      </c>
      <c r="E168" s="1" t="s">
        <v>332</v>
      </c>
      <c r="F168" s="3">
        <v>33429</v>
      </c>
      <c r="G168" s="1" t="s">
        <v>1</v>
      </c>
      <c r="H168" s="1" t="s">
        <v>7</v>
      </c>
      <c r="I168" s="3">
        <v>44681</v>
      </c>
      <c r="J168" s="3"/>
      <c r="K168" s="1" t="s">
        <v>361</v>
      </c>
      <c r="L168" s="1" t="s">
        <v>356</v>
      </c>
      <c r="M168" s="1" t="s">
        <v>9</v>
      </c>
      <c r="N168" s="1" t="s">
        <v>353</v>
      </c>
      <c r="O168" s="1" t="s">
        <v>364</v>
      </c>
      <c r="P168" s="1">
        <v>3.75</v>
      </c>
      <c r="Q168" s="1">
        <v>3</v>
      </c>
      <c r="R168" s="1">
        <v>5</v>
      </c>
      <c r="S168" s="3">
        <v>44166</v>
      </c>
      <c r="T168" s="7">
        <f t="shared" si="2"/>
        <v>1.6739726027397259</v>
      </c>
    </row>
    <row r="169" spans="1:20" x14ac:dyDescent="0.3">
      <c r="A169" s="1" t="s">
        <v>564</v>
      </c>
      <c r="B169" s="1" t="s">
        <v>180</v>
      </c>
      <c r="C169" s="1" t="s">
        <v>13</v>
      </c>
      <c r="D169" s="2">
        <v>7810</v>
      </c>
      <c r="E169" s="1" t="s">
        <v>340</v>
      </c>
      <c r="F169" s="3">
        <v>34065</v>
      </c>
      <c r="G169" s="1" t="s">
        <v>17</v>
      </c>
      <c r="H169" s="1" t="s">
        <v>349</v>
      </c>
      <c r="I169" s="3">
        <v>44479</v>
      </c>
      <c r="J169" s="3"/>
      <c r="K169" s="1" t="s">
        <v>361</v>
      </c>
      <c r="L169" s="1" t="s">
        <v>356</v>
      </c>
      <c r="M169" s="1" t="s">
        <v>9</v>
      </c>
      <c r="N169" s="1" t="s">
        <v>352</v>
      </c>
      <c r="O169" s="1" t="s">
        <v>366</v>
      </c>
      <c r="P169" s="1">
        <v>4.28</v>
      </c>
      <c r="Q169" s="1">
        <v>4</v>
      </c>
      <c r="R169" s="1">
        <v>5</v>
      </c>
      <c r="S169" s="3">
        <v>44166</v>
      </c>
      <c r="T169" s="7">
        <f t="shared" si="2"/>
        <v>2.2273972602739724</v>
      </c>
    </row>
    <row r="170" spans="1:20" x14ac:dyDescent="0.3">
      <c r="A170" s="1" t="s">
        <v>565</v>
      </c>
      <c r="B170" s="1" t="s">
        <v>181</v>
      </c>
      <c r="C170" s="1" t="s">
        <v>13</v>
      </c>
      <c r="D170" s="2">
        <v>9405</v>
      </c>
      <c r="E170" s="1" t="s">
        <v>341</v>
      </c>
      <c r="F170" s="3">
        <v>32766</v>
      </c>
      <c r="G170" s="1" t="s">
        <v>1</v>
      </c>
      <c r="H170" s="1" t="s">
        <v>7</v>
      </c>
      <c r="I170" s="3">
        <v>44479</v>
      </c>
      <c r="J170" s="3"/>
      <c r="K170" s="1" t="s">
        <v>361</v>
      </c>
      <c r="L170" s="1" t="s">
        <v>356</v>
      </c>
      <c r="M170" s="1" t="s">
        <v>9</v>
      </c>
      <c r="N170" s="1" t="s">
        <v>701</v>
      </c>
      <c r="O170" s="1" t="s">
        <v>366</v>
      </c>
      <c r="P170" s="1">
        <v>3.71</v>
      </c>
      <c r="Q170" s="1">
        <v>5</v>
      </c>
      <c r="R170" s="1">
        <v>7</v>
      </c>
      <c r="S170" s="3">
        <v>44166</v>
      </c>
      <c r="T170" s="7">
        <f t="shared" si="2"/>
        <v>2.2273972602739724</v>
      </c>
    </row>
    <row r="171" spans="1:20" x14ac:dyDescent="0.3">
      <c r="A171" s="1" t="s">
        <v>566</v>
      </c>
      <c r="B171" s="1" t="s">
        <v>182</v>
      </c>
      <c r="C171" s="1" t="s">
        <v>16</v>
      </c>
      <c r="D171" s="2">
        <v>8701</v>
      </c>
      <c r="E171" s="1" t="s">
        <v>340</v>
      </c>
      <c r="F171" s="3">
        <v>31725</v>
      </c>
      <c r="G171" s="1" t="s">
        <v>1</v>
      </c>
      <c r="H171" s="1" t="s">
        <v>7</v>
      </c>
      <c r="I171" s="3">
        <v>44607</v>
      </c>
      <c r="J171" s="3"/>
      <c r="K171" s="1" t="s">
        <v>361</v>
      </c>
      <c r="L171" s="1" t="s">
        <v>356</v>
      </c>
      <c r="M171" s="1" t="s">
        <v>9</v>
      </c>
      <c r="N171" s="1" t="s">
        <v>701</v>
      </c>
      <c r="O171" s="1" t="s">
        <v>364</v>
      </c>
      <c r="P171" s="1">
        <v>3.69</v>
      </c>
      <c r="Q171" s="1">
        <v>5</v>
      </c>
      <c r="R171" s="1">
        <v>6</v>
      </c>
      <c r="S171" s="3">
        <v>44166</v>
      </c>
      <c r="T171" s="7">
        <f t="shared" si="2"/>
        <v>1.8767123287671232</v>
      </c>
    </row>
    <row r="172" spans="1:20" x14ac:dyDescent="0.3">
      <c r="A172" s="1" t="s">
        <v>567</v>
      </c>
      <c r="B172" s="1" t="s">
        <v>183</v>
      </c>
      <c r="C172" s="1" t="s">
        <v>16</v>
      </c>
      <c r="D172" s="2">
        <v>9284</v>
      </c>
      <c r="E172" s="1" t="s">
        <v>341</v>
      </c>
      <c r="F172" s="3">
        <v>33475</v>
      </c>
      <c r="G172" s="1" t="s">
        <v>17</v>
      </c>
      <c r="H172" s="1" t="s">
        <v>7</v>
      </c>
      <c r="I172" s="3">
        <v>44649</v>
      </c>
      <c r="J172" s="3"/>
      <c r="K172" s="1" t="s">
        <v>361</v>
      </c>
      <c r="L172" s="1" t="s">
        <v>356</v>
      </c>
      <c r="M172" s="1" t="s">
        <v>9</v>
      </c>
      <c r="N172" s="1" t="s">
        <v>353</v>
      </c>
      <c r="O172" s="1" t="s">
        <v>364</v>
      </c>
      <c r="P172" s="1">
        <v>3.04</v>
      </c>
      <c r="Q172" s="1">
        <v>3</v>
      </c>
      <c r="R172" s="1">
        <v>6</v>
      </c>
      <c r="S172" s="3">
        <v>44166</v>
      </c>
      <c r="T172" s="7">
        <f t="shared" si="2"/>
        <v>1.7616438356164383</v>
      </c>
    </row>
    <row r="173" spans="1:20" x14ac:dyDescent="0.3">
      <c r="A173" s="1" t="s">
        <v>568</v>
      </c>
      <c r="B173" s="1" t="s">
        <v>184</v>
      </c>
      <c r="C173" s="1" t="s">
        <v>16</v>
      </c>
      <c r="D173" s="2">
        <v>6644</v>
      </c>
      <c r="E173" s="1" t="s">
        <v>339</v>
      </c>
      <c r="F173" s="3">
        <v>27607</v>
      </c>
      <c r="G173" s="1" t="s">
        <v>17</v>
      </c>
      <c r="H173" s="1" t="s">
        <v>7</v>
      </c>
      <c r="I173" s="3">
        <v>44681</v>
      </c>
      <c r="J173" s="3"/>
      <c r="K173" s="1" t="s">
        <v>361</v>
      </c>
      <c r="L173" s="1" t="s">
        <v>356</v>
      </c>
      <c r="M173" s="1" t="s">
        <v>9</v>
      </c>
      <c r="N173" s="1" t="s">
        <v>701</v>
      </c>
      <c r="O173" s="1" t="s">
        <v>364</v>
      </c>
      <c r="P173" s="1">
        <v>3.32</v>
      </c>
      <c r="Q173" s="1">
        <v>3</v>
      </c>
      <c r="R173" s="1">
        <v>7</v>
      </c>
      <c r="S173" s="3">
        <v>44166</v>
      </c>
      <c r="T173" s="7">
        <f t="shared" si="2"/>
        <v>1.6739726027397259</v>
      </c>
    </row>
    <row r="174" spans="1:20" x14ac:dyDescent="0.3">
      <c r="A174" s="1" t="s">
        <v>569</v>
      </c>
      <c r="B174" s="1" t="s">
        <v>185</v>
      </c>
      <c r="C174" s="1" t="s">
        <v>16</v>
      </c>
      <c r="D174" s="2">
        <v>6908</v>
      </c>
      <c r="E174" s="1" t="s">
        <v>339</v>
      </c>
      <c r="F174" s="3">
        <v>30735</v>
      </c>
      <c r="G174" s="1" t="s">
        <v>1</v>
      </c>
      <c r="H174" s="1" t="s">
        <v>349</v>
      </c>
      <c r="I174" s="3">
        <v>44649</v>
      </c>
      <c r="J174" s="3"/>
      <c r="K174" s="1" t="s">
        <v>361</v>
      </c>
      <c r="L174" s="1" t="s">
        <v>356</v>
      </c>
      <c r="M174" s="1" t="s">
        <v>9</v>
      </c>
      <c r="N174" s="1" t="s">
        <v>701</v>
      </c>
      <c r="O174" s="1" t="s">
        <v>364</v>
      </c>
      <c r="P174" s="1">
        <v>5</v>
      </c>
      <c r="Q174" s="1">
        <v>3</v>
      </c>
      <c r="R174" s="1">
        <v>5</v>
      </c>
      <c r="S174" s="3">
        <v>44166</v>
      </c>
      <c r="T174" s="7">
        <f t="shared" si="2"/>
        <v>1.7616438356164383</v>
      </c>
    </row>
    <row r="175" spans="1:20" x14ac:dyDescent="0.3">
      <c r="A175" s="1" t="s">
        <v>570</v>
      </c>
      <c r="B175" s="1" t="s">
        <v>186</v>
      </c>
      <c r="C175" s="1" t="s">
        <v>13</v>
      </c>
      <c r="D175" s="2">
        <v>14300</v>
      </c>
      <c r="E175" s="1" t="s">
        <v>323</v>
      </c>
      <c r="F175" s="3">
        <v>31173</v>
      </c>
      <c r="G175" s="1" t="s">
        <v>17</v>
      </c>
      <c r="H175" s="1" t="s">
        <v>349</v>
      </c>
      <c r="I175" s="3">
        <v>43204</v>
      </c>
      <c r="J175" s="3"/>
      <c r="K175" s="1" t="s">
        <v>361</v>
      </c>
      <c r="L175" s="1" t="s">
        <v>356</v>
      </c>
      <c r="M175" s="1" t="s">
        <v>9</v>
      </c>
      <c r="N175" s="1" t="s">
        <v>352</v>
      </c>
      <c r="O175" s="1" t="s">
        <v>366</v>
      </c>
      <c r="P175" s="1">
        <v>3.76</v>
      </c>
      <c r="Q175" s="1">
        <v>5</v>
      </c>
      <c r="R175" s="1">
        <v>5</v>
      </c>
      <c r="S175" s="3">
        <v>44166</v>
      </c>
      <c r="T175" s="7">
        <f t="shared" si="2"/>
        <v>5.720547945205479</v>
      </c>
    </row>
    <row r="176" spans="1:20" x14ac:dyDescent="0.3">
      <c r="A176" s="1" t="s">
        <v>571</v>
      </c>
      <c r="B176" s="1" t="s">
        <v>187</v>
      </c>
      <c r="C176" s="1" t="s">
        <v>16</v>
      </c>
      <c r="D176" s="2">
        <v>13640</v>
      </c>
      <c r="E176" s="1" t="s">
        <v>331</v>
      </c>
      <c r="F176" s="3">
        <v>28613</v>
      </c>
      <c r="G176" s="1" t="s">
        <v>17</v>
      </c>
      <c r="H176" s="1" t="s">
        <v>349</v>
      </c>
      <c r="I176" s="3">
        <v>43850</v>
      </c>
      <c r="J176" s="3"/>
      <c r="K176" s="1" t="s">
        <v>361</v>
      </c>
      <c r="L176" s="1" t="s">
        <v>356</v>
      </c>
      <c r="M176" s="1" t="s">
        <v>9</v>
      </c>
      <c r="N176" s="1" t="s">
        <v>352</v>
      </c>
      <c r="O176" s="1" t="s">
        <v>364</v>
      </c>
      <c r="P176" s="1">
        <v>2.96</v>
      </c>
      <c r="Q176" s="1">
        <v>5</v>
      </c>
      <c r="R176" s="1">
        <v>7</v>
      </c>
      <c r="S176" s="3">
        <v>44166</v>
      </c>
      <c r="T176" s="7">
        <f t="shared" si="2"/>
        <v>3.9506849315068493</v>
      </c>
    </row>
    <row r="177" spans="1:20" x14ac:dyDescent="0.3">
      <c r="A177" s="1" t="s">
        <v>572</v>
      </c>
      <c r="B177" s="1" t="s">
        <v>188</v>
      </c>
      <c r="C177" s="1" t="s">
        <v>27</v>
      </c>
      <c r="D177" s="2">
        <v>13860</v>
      </c>
      <c r="E177" s="1" t="s">
        <v>331</v>
      </c>
      <c r="F177" s="3">
        <v>33367</v>
      </c>
      <c r="G177" s="1" t="s">
        <v>17</v>
      </c>
      <c r="H177" s="1" t="s">
        <v>7</v>
      </c>
      <c r="I177" s="3">
        <v>43510</v>
      </c>
      <c r="J177" s="3"/>
      <c r="K177" s="1" t="s">
        <v>361</v>
      </c>
      <c r="L177" s="1" t="s">
        <v>356</v>
      </c>
      <c r="M177" s="1" t="s">
        <v>9</v>
      </c>
      <c r="N177" s="1" t="s">
        <v>353</v>
      </c>
      <c r="O177" s="1" t="s">
        <v>365</v>
      </c>
      <c r="P177" s="1">
        <v>2.39</v>
      </c>
      <c r="Q177" s="1">
        <v>3</v>
      </c>
      <c r="R177" s="1">
        <v>6</v>
      </c>
      <c r="S177" s="3">
        <v>44166</v>
      </c>
      <c r="T177" s="7">
        <f t="shared" si="2"/>
        <v>4.882191780821918</v>
      </c>
    </row>
    <row r="178" spans="1:20" x14ac:dyDescent="0.3">
      <c r="A178" s="1" t="s">
        <v>573</v>
      </c>
      <c r="B178" s="1" t="s">
        <v>189</v>
      </c>
      <c r="C178" s="1" t="s">
        <v>13</v>
      </c>
      <c r="D178" s="2">
        <v>14080</v>
      </c>
      <c r="E178" s="1" t="s">
        <v>331</v>
      </c>
      <c r="F178" s="3">
        <v>27643</v>
      </c>
      <c r="G178" s="1" t="s">
        <v>17</v>
      </c>
      <c r="H178" s="1" t="s">
        <v>349</v>
      </c>
      <c r="I178" s="3">
        <v>44316</v>
      </c>
      <c r="J178" s="3"/>
      <c r="K178" s="1" t="s">
        <v>361</v>
      </c>
      <c r="L178" s="1" t="s">
        <v>356</v>
      </c>
      <c r="M178" s="1" t="s">
        <v>9</v>
      </c>
      <c r="N178" s="1" t="s">
        <v>352</v>
      </c>
      <c r="O178" s="1" t="s">
        <v>366</v>
      </c>
      <c r="P178" s="1">
        <v>1.99</v>
      </c>
      <c r="Q178" s="1">
        <v>5</v>
      </c>
      <c r="R178" s="1">
        <v>5</v>
      </c>
      <c r="S178" s="3">
        <v>44166</v>
      </c>
      <c r="T178" s="7">
        <f t="shared" si="2"/>
        <v>2.6739726027397261</v>
      </c>
    </row>
    <row r="179" spans="1:20" x14ac:dyDescent="0.3">
      <c r="A179" s="1" t="s">
        <v>574</v>
      </c>
      <c r="B179" s="1" t="s">
        <v>190</v>
      </c>
      <c r="C179" s="1" t="s">
        <v>16</v>
      </c>
      <c r="D179" s="2">
        <v>6378</v>
      </c>
      <c r="E179" s="1" t="s">
        <v>332</v>
      </c>
      <c r="F179" s="3">
        <v>33001</v>
      </c>
      <c r="G179" s="1" t="s">
        <v>17</v>
      </c>
      <c r="H179" s="1" t="s">
        <v>349</v>
      </c>
      <c r="I179" s="3">
        <v>43594</v>
      </c>
      <c r="J179" s="3"/>
      <c r="K179" s="1" t="s">
        <v>361</v>
      </c>
      <c r="L179" s="1" t="s">
        <v>356</v>
      </c>
      <c r="M179" s="1" t="s">
        <v>9</v>
      </c>
      <c r="N179" s="1" t="s">
        <v>353</v>
      </c>
      <c r="O179" s="1" t="s">
        <v>364</v>
      </c>
      <c r="P179" s="1">
        <v>2.5499999999999998</v>
      </c>
      <c r="Q179" s="1">
        <v>3</v>
      </c>
      <c r="R179" s="1">
        <v>6</v>
      </c>
      <c r="S179" s="3">
        <v>44166</v>
      </c>
      <c r="T179" s="7">
        <f t="shared" si="2"/>
        <v>4.6520547945205477</v>
      </c>
    </row>
    <row r="180" spans="1:20" x14ac:dyDescent="0.3">
      <c r="A180" s="1" t="s">
        <v>575</v>
      </c>
      <c r="B180" s="1" t="s">
        <v>191</v>
      </c>
      <c r="C180" s="1" t="s">
        <v>16</v>
      </c>
      <c r="D180" s="2">
        <v>6908</v>
      </c>
      <c r="E180" s="1" t="s">
        <v>332</v>
      </c>
      <c r="F180" s="3">
        <v>26821</v>
      </c>
      <c r="G180" s="1" t="s">
        <v>1</v>
      </c>
      <c r="H180" s="1" t="s">
        <v>349</v>
      </c>
      <c r="I180" s="3">
        <v>42739</v>
      </c>
      <c r="J180" s="3"/>
      <c r="K180" s="1" t="s">
        <v>361</v>
      </c>
      <c r="L180" s="1" t="s">
        <v>356</v>
      </c>
      <c r="M180" s="1" t="s">
        <v>9</v>
      </c>
      <c r="N180" s="1" t="s">
        <v>701</v>
      </c>
      <c r="O180" s="1" t="s">
        <v>364</v>
      </c>
      <c r="P180" s="1">
        <v>1.21</v>
      </c>
      <c r="Q180" s="1">
        <v>4</v>
      </c>
      <c r="R180" s="1">
        <v>5</v>
      </c>
      <c r="S180" s="3">
        <v>44166</v>
      </c>
      <c r="T180" s="7">
        <f t="shared" si="2"/>
        <v>6.9945205479452053</v>
      </c>
    </row>
    <row r="181" spans="1:20" x14ac:dyDescent="0.3">
      <c r="A181" s="1" t="s">
        <v>576</v>
      </c>
      <c r="B181" s="1" t="s">
        <v>192</v>
      </c>
      <c r="C181" s="1" t="s">
        <v>13</v>
      </c>
      <c r="D181" s="2">
        <v>5720</v>
      </c>
      <c r="E181" s="1" t="s">
        <v>332</v>
      </c>
      <c r="F181" s="3">
        <v>34098</v>
      </c>
      <c r="G181" s="1" t="s">
        <v>1</v>
      </c>
      <c r="H181" s="1" t="s">
        <v>349</v>
      </c>
      <c r="I181" s="3">
        <v>43120</v>
      </c>
      <c r="J181" s="3"/>
      <c r="K181" s="1" t="s">
        <v>361</v>
      </c>
      <c r="L181" s="1" t="s">
        <v>356</v>
      </c>
      <c r="M181" s="1" t="s">
        <v>9</v>
      </c>
      <c r="N181" s="1" t="s">
        <v>352</v>
      </c>
      <c r="O181" s="1" t="s">
        <v>366</v>
      </c>
      <c r="P181" s="1">
        <v>4.6399999999999997</v>
      </c>
      <c r="Q181" s="1">
        <v>4</v>
      </c>
      <c r="R181" s="1">
        <v>5</v>
      </c>
      <c r="S181" s="3">
        <v>44166</v>
      </c>
      <c r="T181" s="7">
        <f t="shared" si="2"/>
        <v>5.9506849315068493</v>
      </c>
    </row>
    <row r="182" spans="1:20" x14ac:dyDescent="0.3">
      <c r="A182" s="1" t="s">
        <v>577</v>
      </c>
      <c r="B182" s="1" t="s">
        <v>193</v>
      </c>
      <c r="C182" s="1" t="s">
        <v>16</v>
      </c>
      <c r="D182" s="2">
        <v>6048</v>
      </c>
      <c r="E182" s="1" t="s">
        <v>332</v>
      </c>
      <c r="F182" s="3">
        <v>28826</v>
      </c>
      <c r="G182" s="1" t="s">
        <v>1</v>
      </c>
      <c r="H182" s="1" t="s">
        <v>7</v>
      </c>
      <c r="I182" s="3">
        <v>43378</v>
      </c>
      <c r="J182" s="3"/>
      <c r="K182" s="1" t="s">
        <v>361</v>
      </c>
      <c r="L182" s="1" t="s">
        <v>356</v>
      </c>
      <c r="M182" s="1" t="s">
        <v>9</v>
      </c>
      <c r="N182" s="1" t="s">
        <v>352</v>
      </c>
      <c r="O182" s="1" t="s">
        <v>364</v>
      </c>
      <c r="P182" s="1">
        <v>4.3</v>
      </c>
      <c r="Q182" s="1">
        <v>3</v>
      </c>
      <c r="R182" s="1">
        <v>5</v>
      </c>
      <c r="S182" s="3">
        <v>44166</v>
      </c>
      <c r="T182" s="7">
        <f t="shared" si="2"/>
        <v>5.2438356164383562</v>
      </c>
    </row>
    <row r="183" spans="1:20" x14ac:dyDescent="0.3">
      <c r="A183" s="1" t="s">
        <v>578</v>
      </c>
      <c r="B183" s="1" t="s">
        <v>194</v>
      </c>
      <c r="C183" s="1" t="s">
        <v>16</v>
      </c>
      <c r="D183" s="2">
        <v>9900</v>
      </c>
      <c r="E183" s="1" t="s">
        <v>332</v>
      </c>
      <c r="F183" s="3">
        <v>34150</v>
      </c>
      <c r="G183" s="1" t="s">
        <v>17</v>
      </c>
      <c r="H183" s="1" t="s">
        <v>349</v>
      </c>
      <c r="I183" s="3">
        <v>44681</v>
      </c>
      <c r="J183" s="3"/>
      <c r="K183" s="1" t="s">
        <v>361</v>
      </c>
      <c r="L183" s="1" t="s">
        <v>356</v>
      </c>
      <c r="M183" s="1" t="s">
        <v>9</v>
      </c>
      <c r="N183" s="1" t="s">
        <v>353</v>
      </c>
      <c r="O183" s="1" t="s">
        <v>364</v>
      </c>
      <c r="P183" s="1">
        <v>1.84</v>
      </c>
      <c r="Q183" s="1">
        <v>5</v>
      </c>
      <c r="R183" s="1">
        <v>6</v>
      </c>
      <c r="S183" s="3">
        <v>44166</v>
      </c>
      <c r="T183" s="7">
        <f t="shared" si="2"/>
        <v>1.6739726027397259</v>
      </c>
    </row>
    <row r="184" spans="1:20" x14ac:dyDescent="0.3">
      <c r="A184" s="1" t="s">
        <v>579</v>
      </c>
      <c r="B184" s="1" t="s">
        <v>195</v>
      </c>
      <c r="C184" s="1" t="s">
        <v>16</v>
      </c>
      <c r="D184" s="2">
        <v>9240</v>
      </c>
      <c r="E184" s="1" t="s">
        <v>332</v>
      </c>
      <c r="F184" s="3">
        <v>34661</v>
      </c>
      <c r="G184" s="1" t="s">
        <v>17</v>
      </c>
      <c r="H184" s="1" t="s">
        <v>7</v>
      </c>
      <c r="I184" s="3">
        <v>44649</v>
      </c>
      <c r="J184" s="3"/>
      <c r="K184" s="1" t="s">
        <v>361</v>
      </c>
      <c r="L184" s="1" t="s">
        <v>356</v>
      </c>
      <c r="M184" s="1" t="s">
        <v>9</v>
      </c>
      <c r="N184" s="1" t="s">
        <v>352</v>
      </c>
      <c r="O184" s="1" t="s">
        <v>364</v>
      </c>
      <c r="P184" s="1">
        <v>2.21</v>
      </c>
      <c r="Q184" s="1">
        <v>5</v>
      </c>
      <c r="R184" s="1">
        <v>7</v>
      </c>
      <c r="S184" s="3">
        <v>44166</v>
      </c>
      <c r="T184" s="7">
        <f t="shared" si="2"/>
        <v>1.7616438356164383</v>
      </c>
    </row>
    <row r="185" spans="1:20" x14ac:dyDescent="0.3">
      <c r="A185" s="1" t="s">
        <v>580</v>
      </c>
      <c r="B185" s="1" t="s">
        <v>196</v>
      </c>
      <c r="C185" s="1" t="s">
        <v>16</v>
      </c>
      <c r="D185" s="2">
        <v>8140</v>
      </c>
      <c r="E185" s="1" t="s">
        <v>332</v>
      </c>
      <c r="F185" s="3">
        <v>34167</v>
      </c>
      <c r="G185" s="1" t="s">
        <v>1</v>
      </c>
      <c r="H185" s="1" t="s">
        <v>7</v>
      </c>
      <c r="I185" s="3">
        <v>44681</v>
      </c>
      <c r="J185" s="3"/>
      <c r="K185" s="1" t="s">
        <v>361</v>
      </c>
      <c r="L185" s="1" t="s">
        <v>356</v>
      </c>
      <c r="M185" s="1" t="s">
        <v>9</v>
      </c>
      <c r="N185" s="1" t="s">
        <v>701</v>
      </c>
      <c r="O185" s="1" t="s">
        <v>364</v>
      </c>
      <c r="P185" s="1">
        <v>4.1100000000000003</v>
      </c>
      <c r="Q185" s="1">
        <v>4</v>
      </c>
      <c r="R185" s="1">
        <v>6</v>
      </c>
      <c r="S185" s="3">
        <v>44166</v>
      </c>
      <c r="T185" s="7">
        <f t="shared" si="2"/>
        <v>1.6739726027397259</v>
      </c>
    </row>
    <row r="186" spans="1:20" x14ac:dyDescent="0.3">
      <c r="A186" s="1" t="s">
        <v>581</v>
      </c>
      <c r="B186" s="1" t="s">
        <v>197</v>
      </c>
      <c r="C186" s="1" t="s">
        <v>16</v>
      </c>
      <c r="D186" s="2">
        <v>8580</v>
      </c>
      <c r="E186" s="1" t="s">
        <v>332</v>
      </c>
      <c r="F186" s="3">
        <v>31517</v>
      </c>
      <c r="G186" s="1" t="s">
        <v>1</v>
      </c>
      <c r="H186" s="1" t="s">
        <v>349</v>
      </c>
      <c r="I186" s="3">
        <v>44681</v>
      </c>
      <c r="J186" s="3"/>
      <c r="K186" s="1" t="s">
        <v>361</v>
      </c>
      <c r="L186" s="1" t="s">
        <v>356</v>
      </c>
      <c r="M186" s="1" t="s">
        <v>9</v>
      </c>
      <c r="N186" s="1" t="s">
        <v>701</v>
      </c>
      <c r="O186" s="1" t="s">
        <v>364</v>
      </c>
      <c r="P186" s="1">
        <v>4.6100000000000003</v>
      </c>
      <c r="Q186" s="1">
        <v>4</v>
      </c>
      <c r="R186" s="1">
        <v>5</v>
      </c>
      <c r="S186" s="3">
        <v>44166</v>
      </c>
      <c r="T186" s="7">
        <f t="shared" si="2"/>
        <v>1.6739726027397259</v>
      </c>
    </row>
    <row r="187" spans="1:20" x14ac:dyDescent="0.3">
      <c r="A187" s="1" t="s">
        <v>582</v>
      </c>
      <c r="B187" s="1" t="s">
        <v>198</v>
      </c>
      <c r="C187" s="1" t="s">
        <v>19</v>
      </c>
      <c r="D187" s="2">
        <v>9460</v>
      </c>
      <c r="E187" s="1" t="s">
        <v>346</v>
      </c>
      <c r="F187" s="3">
        <v>33771</v>
      </c>
      <c r="G187" s="1" t="s">
        <v>17</v>
      </c>
      <c r="H187" s="1" t="s">
        <v>349</v>
      </c>
      <c r="I187" s="3">
        <v>44649</v>
      </c>
      <c r="J187" s="3"/>
      <c r="K187" s="1" t="s">
        <v>361</v>
      </c>
      <c r="L187" s="1" t="s">
        <v>356</v>
      </c>
      <c r="M187" s="1" t="s">
        <v>9</v>
      </c>
      <c r="N187" s="1" t="s">
        <v>353</v>
      </c>
      <c r="O187" s="1" t="s">
        <v>365</v>
      </c>
      <c r="P187" s="1">
        <v>1.2</v>
      </c>
      <c r="Q187" s="1">
        <v>3</v>
      </c>
      <c r="R187" s="1">
        <v>6</v>
      </c>
      <c r="S187" s="3">
        <v>44166</v>
      </c>
      <c r="T187" s="7">
        <f t="shared" si="2"/>
        <v>1.7616438356164383</v>
      </c>
    </row>
    <row r="188" spans="1:20" x14ac:dyDescent="0.3">
      <c r="A188" s="1" t="s">
        <v>583</v>
      </c>
      <c r="B188" s="1" t="s">
        <v>199</v>
      </c>
      <c r="C188" s="1" t="s">
        <v>16</v>
      </c>
      <c r="D188" s="2">
        <v>5940</v>
      </c>
      <c r="E188" s="1" t="s">
        <v>346</v>
      </c>
      <c r="F188" s="3">
        <v>30774</v>
      </c>
      <c r="G188" s="1" t="s">
        <v>1</v>
      </c>
      <c r="H188" s="1" t="s">
        <v>7</v>
      </c>
      <c r="I188" s="3">
        <v>44607</v>
      </c>
      <c r="J188" s="3"/>
      <c r="K188" s="1" t="s">
        <v>361</v>
      </c>
      <c r="L188" s="1" t="s">
        <v>356</v>
      </c>
      <c r="M188" s="1" t="s">
        <v>9</v>
      </c>
      <c r="N188" s="1" t="s">
        <v>353</v>
      </c>
      <c r="O188" s="1" t="s">
        <v>364</v>
      </c>
      <c r="P188" s="1">
        <v>3.81</v>
      </c>
      <c r="Q188" s="1">
        <v>3</v>
      </c>
      <c r="R188" s="1">
        <v>6</v>
      </c>
      <c r="S188" s="3">
        <v>44166</v>
      </c>
      <c r="T188" s="7">
        <f t="shared" si="2"/>
        <v>1.8767123287671232</v>
      </c>
    </row>
    <row r="189" spans="1:20" x14ac:dyDescent="0.3">
      <c r="A189" s="1" t="s">
        <v>584</v>
      </c>
      <c r="B189" s="1" t="s">
        <v>200</v>
      </c>
      <c r="C189" s="1" t="s">
        <v>16</v>
      </c>
      <c r="D189" s="2">
        <v>10340</v>
      </c>
      <c r="E189" s="1" t="s">
        <v>346</v>
      </c>
      <c r="F189" s="3">
        <v>31515</v>
      </c>
      <c r="G189" s="1" t="s">
        <v>1</v>
      </c>
      <c r="H189" s="1" t="s">
        <v>7</v>
      </c>
      <c r="I189" s="3">
        <v>44468</v>
      </c>
      <c r="J189" s="3"/>
      <c r="K189" s="1" t="s">
        <v>361</v>
      </c>
      <c r="L189" s="1" t="s">
        <v>356</v>
      </c>
      <c r="M189" s="1" t="s">
        <v>9</v>
      </c>
      <c r="N189" s="1" t="s">
        <v>701</v>
      </c>
      <c r="O189" s="1" t="s">
        <v>364</v>
      </c>
      <c r="P189" s="1">
        <v>3.31</v>
      </c>
      <c r="Q189" s="1">
        <v>3</v>
      </c>
      <c r="R189" s="1">
        <v>6</v>
      </c>
      <c r="S189" s="3">
        <v>44166</v>
      </c>
      <c r="T189" s="7">
        <f t="shared" si="2"/>
        <v>2.2575342465753425</v>
      </c>
    </row>
    <row r="190" spans="1:20" x14ac:dyDescent="0.3">
      <c r="A190" s="1" t="s">
        <v>585</v>
      </c>
      <c r="B190" s="1" t="s">
        <v>201</v>
      </c>
      <c r="C190" s="1" t="s">
        <v>16</v>
      </c>
      <c r="D190" s="2">
        <v>10802</v>
      </c>
      <c r="E190" s="1" t="s">
        <v>346</v>
      </c>
      <c r="F190" s="3">
        <v>27118</v>
      </c>
      <c r="G190" s="1" t="s">
        <v>17</v>
      </c>
      <c r="H190" s="1" t="s">
        <v>7</v>
      </c>
      <c r="I190" s="3">
        <v>44649</v>
      </c>
      <c r="J190" s="3"/>
      <c r="K190" s="1" t="s">
        <v>361</v>
      </c>
      <c r="L190" s="1" t="s">
        <v>356</v>
      </c>
      <c r="M190" s="1" t="s">
        <v>9</v>
      </c>
      <c r="N190" s="1" t="s">
        <v>701</v>
      </c>
      <c r="O190" s="1" t="s">
        <v>364</v>
      </c>
      <c r="P190" s="1">
        <v>5</v>
      </c>
      <c r="Q190" s="1">
        <v>4</v>
      </c>
      <c r="R190" s="1">
        <v>7</v>
      </c>
      <c r="S190" s="3">
        <v>44166</v>
      </c>
      <c r="T190" s="7">
        <f t="shared" si="2"/>
        <v>1.7616438356164383</v>
      </c>
    </row>
    <row r="191" spans="1:20" x14ac:dyDescent="0.3">
      <c r="A191" s="1" t="s">
        <v>586</v>
      </c>
      <c r="B191" s="1" t="s">
        <v>202</v>
      </c>
      <c r="C191" s="1" t="s">
        <v>16</v>
      </c>
      <c r="D191" s="2">
        <v>10000</v>
      </c>
      <c r="E191" s="1" t="s">
        <v>322</v>
      </c>
      <c r="F191" s="3">
        <v>33767</v>
      </c>
      <c r="G191" s="1" t="s">
        <v>1</v>
      </c>
      <c r="H191" s="1" t="s">
        <v>349</v>
      </c>
      <c r="I191" s="3">
        <v>44966</v>
      </c>
      <c r="J191" s="3"/>
      <c r="K191" s="1" t="s">
        <v>361</v>
      </c>
      <c r="L191" s="1" t="s">
        <v>356</v>
      </c>
      <c r="M191" s="1" t="s">
        <v>9</v>
      </c>
      <c r="N191" s="1" t="s">
        <v>353</v>
      </c>
      <c r="O191" s="1" t="s">
        <v>364</v>
      </c>
      <c r="P191" s="1">
        <v>2.09</v>
      </c>
      <c r="Q191" s="1">
        <v>5</v>
      </c>
      <c r="R191" s="1">
        <v>7</v>
      </c>
      <c r="S191" s="3">
        <v>44166</v>
      </c>
      <c r="T191" s="7">
        <f t="shared" si="2"/>
        <v>0.89315068493150684</v>
      </c>
    </row>
    <row r="192" spans="1:20" x14ac:dyDescent="0.3">
      <c r="A192" s="1" t="s">
        <v>587</v>
      </c>
      <c r="B192" s="1" t="s">
        <v>203</v>
      </c>
      <c r="C192" s="1" t="s">
        <v>16</v>
      </c>
      <c r="D192" s="2">
        <v>10500</v>
      </c>
      <c r="E192" s="1" t="s">
        <v>322</v>
      </c>
      <c r="F192" s="3">
        <v>27508</v>
      </c>
      <c r="G192" s="1" t="s">
        <v>17</v>
      </c>
      <c r="H192" s="1" t="s">
        <v>349</v>
      </c>
      <c r="I192" s="3">
        <v>44958</v>
      </c>
      <c r="J192" s="3"/>
      <c r="K192" s="1" t="s">
        <v>361</v>
      </c>
      <c r="L192" s="1" t="s">
        <v>356</v>
      </c>
      <c r="M192" s="1" t="s">
        <v>9</v>
      </c>
      <c r="N192" s="1" t="s">
        <v>353</v>
      </c>
      <c r="O192" s="1" t="s">
        <v>364</v>
      </c>
      <c r="P192" s="1">
        <v>5</v>
      </c>
      <c r="Q192" s="1">
        <v>3</v>
      </c>
      <c r="R192" s="1">
        <v>6</v>
      </c>
      <c r="S192" s="3">
        <v>44166</v>
      </c>
      <c r="T192" s="7">
        <f t="shared" si="2"/>
        <v>0.91506849315068495</v>
      </c>
    </row>
    <row r="193" spans="1:20" x14ac:dyDescent="0.3">
      <c r="A193" s="1" t="s">
        <v>588</v>
      </c>
      <c r="B193" s="1" t="s">
        <v>204</v>
      </c>
      <c r="C193" s="1" t="s">
        <v>16</v>
      </c>
      <c r="D193" s="2">
        <v>10500</v>
      </c>
      <c r="E193" s="1" t="s">
        <v>322</v>
      </c>
      <c r="F193" s="3">
        <v>31630</v>
      </c>
      <c r="G193" s="1" t="s">
        <v>17</v>
      </c>
      <c r="H193" s="1" t="s">
        <v>349</v>
      </c>
      <c r="I193" s="3">
        <v>44971</v>
      </c>
      <c r="J193" s="3"/>
      <c r="K193" s="1" t="s">
        <v>361</v>
      </c>
      <c r="L193" s="1" t="s">
        <v>356</v>
      </c>
      <c r="M193" s="1" t="s">
        <v>9</v>
      </c>
      <c r="N193" s="1" t="s">
        <v>353</v>
      </c>
      <c r="O193" s="1" t="s">
        <v>364</v>
      </c>
      <c r="P193" s="1">
        <v>3.42</v>
      </c>
      <c r="Q193" s="1">
        <v>4</v>
      </c>
      <c r="R193" s="1">
        <v>7</v>
      </c>
      <c r="S193" s="3">
        <v>44166</v>
      </c>
      <c r="T193" s="7">
        <f t="shared" si="2"/>
        <v>0.8794520547945206</v>
      </c>
    </row>
    <row r="194" spans="1:20" x14ac:dyDescent="0.3">
      <c r="A194" s="1" t="s">
        <v>589</v>
      </c>
      <c r="B194" s="1" t="s">
        <v>205</v>
      </c>
      <c r="C194" s="1" t="s">
        <v>16</v>
      </c>
      <c r="D194" s="2">
        <v>10472</v>
      </c>
      <c r="E194" s="1" t="s">
        <v>346</v>
      </c>
      <c r="F194" s="3">
        <v>30824</v>
      </c>
      <c r="G194" s="1" t="s">
        <v>1</v>
      </c>
      <c r="H194" s="1" t="s">
        <v>349</v>
      </c>
      <c r="I194" s="3">
        <v>44479</v>
      </c>
      <c r="J194" s="3"/>
      <c r="K194" s="1" t="s">
        <v>361</v>
      </c>
      <c r="L194" s="1" t="s">
        <v>356</v>
      </c>
      <c r="M194" s="1" t="s">
        <v>9</v>
      </c>
      <c r="N194" s="1" t="s">
        <v>701</v>
      </c>
      <c r="O194" s="1" t="s">
        <v>364</v>
      </c>
      <c r="P194" s="1">
        <v>3.04</v>
      </c>
      <c r="Q194" s="1">
        <v>3</v>
      </c>
      <c r="R194" s="1">
        <v>4</v>
      </c>
      <c r="S194" s="3">
        <v>44166</v>
      </c>
      <c r="T194" s="7">
        <f t="shared" si="2"/>
        <v>2.2273972602739724</v>
      </c>
    </row>
    <row r="195" spans="1:20" x14ac:dyDescent="0.3">
      <c r="A195" s="1" t="s">
        <v>590</v>
      </c>
      <c r="B195" s="1" t="s">
        <v>206</v>
      </c>
      <c r="C195" s="1" t="s">
        <v>16</v>
      </c>
      <c r="D195" s="2">
        <v>12320</v>
      </c>
      <c r="E195" s="1" t="s">
        <v>346</v>
      </c>
      <c r="F195" s="3">
        <v>33726</v>
      </c>
      <c r="G195" s="1" t="s">
        <v>591</v>
      </c>
      <c r="H195" s="1" t="s">
        <v>349</v>
      </c>
      <c r="I195" s="3">
        <v>44145</v>
      </c>
      <c r="J195" s="3"/>
      <c r="K195" s="1" t="s">
        <v>361</v>
      </c>
      <c r="L195" s="1" t="s">
        <v>356</v>
      </c>
      <c r="M195" s="1" t="s">
        <v>9</v>
      </c>
      <c r="N195" s="1" t="s">
        <v>353</v>
      </c>
      <c r="O195" s="1" t="s">
        <v>364</v>
      </c>
      <c r="P195" s="1">
        <v>4.96</v>
      </c>
      <c r="Q195" s="1">
        <v>4</v>
      </c>
      <c r="R195" s="1">
        <v>6</v>
      </c>
      <c r="S195" s="3">
        <v>44166</v>
      </c>
      <c r="T195" s="7">
        <f t="shared" ref="T195:T258" si="3">IF(L195="Activo",(DATE(2024,1,1)-I195)/365,(J195-I195)/365)</f>
        <v>3.1424657534246574</v>
      </c>
    </row>
    <row r="196" spans="1:20" x14ac:dyDescent="0.3">
      <c r="A196" s="1" t="s">
        <v>592</v>
      </c>
      <c r="B196" s="1" t="s">
        <v>207</v>
      </c>
      <c r="C196" s="1" t="s">
        <v>16</v>
      </c>
      <c r="D196" s="2">
        <v>12566</v>
      </c>
      <c r="E196" s="1" t="s">
        <v>346</v>
      </c>
      <c r="F196" s="3">
        <v>30807</v>
      </c>
      <c r="G196" s="1" t="s">
        <v>1</v>
      </c>
      <c r="H196" s="1" t="s">
        <v>349</v>
      </c>
      <c r="I196" s="3">
        <v>43709</v>
      </c>
      <c r="J196" s="3"/>
      <c r="K196" s="1" t="s">
        <v>361</v>
      </c>
      <c r="L196" s="1" t="s">
        <v>356</v>
      </c>
      <c r="M196" s="1" t="s">
        <v>9</v>
      </c>
      <c r="N196" s="1" t="s">
        <v>353</v>
      </c>
      <c r="O196" s="1" t="s">
        <v>364</v>
      </c>
      <c r="P196" s="1">
        <v>3.79</v>
      </c>
      <c r="Q196" s="1">
        <v>5</v>
      </c>
      <c r="R196" s="1">
        <v>5</v>
      </c>
      <c r="S196" s="3">
        <v>44166</v>
      </c>
      <c r="T196" s="7">
        <f t="shared" si="3"/>
        <v>4.3369863013698629</v>
      </c>
    </row>
    <row r="197" spans="1:20" x14ac:dyDescent="0.3">
      <c r="A197" s="1" t="s">
        <v>593</v>
      </c>
      <c r="B197" s="1" t="s">
        <v>208</v>
      </c>
      <c r="C197" s="1" t="s">
        <v>16</v>
      </c>
      <c r="D197" s="2">
        <v>12212</v>
      </c>
      <c r="E197" s="1" t="s">
        <v>346</v>
      </c>
      <c r="F197" s="3">
        <v>33794</v>
      </c>
      <c r="G197" s="1" t="s">
        <v>1</v>
      </c>
      <c r="H197" s="1" t="s">
        <v>349</v>
      </c>
      <c r="I197" s="3">
        <v>44145</v>
      </c>
      <c r="J197" s="3"/>
      <c r="K197" s="1" t="s">
        <v>361</v>
      </c>
      <c r="L197" s="1" t="s">
        <v>356</v>
      </c>
      <c r="M197" s="1" t="s">
        <v>9</v>
      </c>
      <c r="N197" s="1" t="s">
        <v>353</v>
      </c>
      <c r="O197" s="1" t="s">
        <v>364</v>
      </c>
      <c r="P197" s="1">
        <v>1.53</v>
      </c>
      <c r="Q197" s="1">
        <v>5</v>
      </c>
      <c r="R197" s="1">
        <v>4</v>
      </c>
      <c r="S197" s="3">
        <v>44166</v>
      </c>
      <c r="T197" s="7">
        <f t="shared" si="3"/>
        <v>3.1424657534246574</v>
      </c>
    </row>
    <row r="198" spans="1:20" x14ac:dyDescent="0.3">
      <c r="A198" s="1" t="s">
        <v>594</v>
      </c>
      <c r="B198" s="1" t="s">
        <v>209</v>
      </c>
      <c r="C198" s="1" t="s">
        <v>16</v>
      </c>
      <c r="D198" s="2">
        <v>10835</v>
      </c>
      <c r="E198" s="1" t="s">
        <v>346</v>
      </c>
      <c r="F198" s="3">
        <v>33442</v>
      </c>
      <c r="G198" s="1" t="s">
        <v>1</v>
      </c>
      <c r="H198" s="1" t="s">
        <v>7</v>
      </c>
      <c r="I198" s="3">
        <v>43596</v>
      </c>
      <c r="J198" s="3"/>
      <c r="K198" s="1" t="s">
        <v>361</v>
      </c>
      <c r="L198" s="1" t="s">
        <v>356</v>
      </c>
      <c r="M198" s="1" t="s">
        <v>9</v>
      </c>
      <c r="N198" s="1" t="s">
        <v>353</v>
      </c>
      <c r="O198" s="1" t="s">
        <v>364</v>
      </c>
      <c r="P198" s="1">
        <v>1.74</v>
      </c>
      <c r="Q198" s="1">
        <v>3</v>
      </c>
      <c r="R198" s="1">
        <v>6</v>
      </c>
      <c r="S198" s="3">
        <v>44166</v>
      </c>
      <c r="T198" s="7">
        <f t="shared" si="3"/>
        <v>4.646575342465753</v>
      </c>
    </row>
    <row r="199" spans="1:20" x14ac:dyDescent="0.3">
      <c r="A199" s="1" t="s">
        <v>595</v>
      </c>
      <c r="B199" s="1">
        <v>1201431324</v>
      </c>
      <c r="C199" s="1" t="s">
        <v>13</v>
      </c>
      <c r="D199" s="2">
        <v>10560</v>
      </c>
      <c r="E199" s="1" t="s">
        <v>346</v>
      </c>
      <c r="F199" s="3">
        <v>32297</v>
      </c>
      <c r="G199" s="1" t="s">
        <v>17</v>
      </c>
      <c r="H199" s="1" t="s">
        <v>349</v>
      </c>
      <c r="I199" s="3">
        <v>44383</v>
      </c>
      <c r="J199" s="3"/>
      <c r="K199" s="1" t="s">
        <v>361</v>
      </c>
      <c r="L199" s="1" t="s">
        <v>356</v>
      </c>
      <c r="M199" s="1" t="s">
        <v>9</v>
      </c>
      <c r="N199" s="1" t="s">
        <v>351</v>
      </c>
      <c r="O199" s="1" t="s">
        <v>366</v>
      </c>
      <c r="P199" s="1">
        <v>2.61</v>
      </c>
      <c r="Q199" s="1">
        <v>5</v>
      </c>
      <c r="R199" s="1">
        <v>5</v>
      </c>
      <c r="S199" s="3">
        <v>44166</v>
      </c>
      <c r="T199" s="7">
        <f t="shared" si="3"/>
        <v>2.4904109589041097</v>
      </c>
    </row>
    <row r="200" spans="1:20" x14ac:dyDescent="0.3">
      <c r="A200" s="1" t="s">
        <v>596</v>
      </c>
      <c r="B200" s="1" t="s">
        <v>210</v>
      </c>
      <c r="C200" s="1" t="s">
        <v>16</v>
      </c>
      <c r="D200" s="2">
        <v>5940</v>
      </c>
      <c r="E200" s="1" t="s">
        <v>348</v>
      </c>
      <c r="F200" s="3">
        <v>26258</v>
      </c>
      <c r="G200" s="1" t="s">
        <v>17</v>
      </c>
      <c r="H200" s="1" t="s">
        <v>349</v>
      </c>
      <c r="I200" s="3">
        <v>43326</v>
      </c>
      <c r="J200" s="3"/>
      <c r="K200" s="1" t="s">
        <v>361</v>
      </c>
      <c r="L200" s="1" t="s">
        <v>356</v>
      </c>
      <c r="M200" s="1" t="s">
        <v>9</v>
      </c>
      <c r="N200" s="1" t="s">
        <v>353</v>
      </c>
      <c r="O200" s="1" t="s">
        <v>364</v>
      </c>
      <c r="P200" s="1">
        <v>3.84</v>
      </c>
      <c r="Q200" s="1">
        <v>3</v>
      </c>
      <c r="R200" s="1">
        <v>5</v>
      </c>
      <c r="S200" s="3">
        <v>44166</v>
      </c>
      <c r="T200" s="7">
        <f t="shared" si="3"/>
        <v>5.3863013698630136</v>
      </c>
    </row>
    <row r="201" spans="1:20" x14ac:dyDescent="0.3">
      <c r="A201" s="1" t="s">
        <v>597</v>
      </c>
      <c r="B201" s="1">
        <v>1201431308</v>
      </c>
      <c r="C201" s="1" t="s">
        <v>16</v>
      </c>
      <c r="D201" s="2">
        <v>7689</v>
      </c>
      <c r="E201" s="1" t="s">
        <v>328</v>
      </c>
      <c r="F201" s="3">
        <v>30786</v>
      </c>
      <c r="G201" s="1" t="s">
        <v>1</v>
      </c>
      <c r="H201" s="1" t="s">
        <v>7</v>
      </c>
      <c r="I201" s="3">
        <v>42490</v>
      </c>
      <c r="J201" s="3"/>
      <c r="K201" s="1" t="s">
        <v>361</v>
      </c>
      <c r="L201" s="1" t="s">
        <v>356</v>
      </c>
      <c r="M201" s="1" t="s">
        <v>8</v>
      </c>
      <c r="N201" s="1" t="s">
        <v>352</v>
      </c>
      <c r="O201" s="1" t="s">
        <v>364</v>
      </c>
      <c r="P201" s="1">
        <v>5</v>
      </c>
      <c r="Q201" s="1">
        <v>3</v>
      </c>
      <c r="R201" s="1">
        <v>2</v>
      </c>
      <c r="S201" s="3">
        <v>44166</v>
      </c>
      <c r="T201" s="7">
        <f t="shared" si="3"/>
        <v>7.6767123287671231</v>
      </c>
    </row>
    <row r="202" spans="1:20" x14ac:dyDescent="0.3">
      <c r="A202" s="1" t="s">
        <v>598</v>
      </c>
      <c r="B202" s="1" t="s">
        <v>211</v>
      </c>
      <c r="C202" s="1" t="s">
        <v>16</v>
      </c>
      <c r="D202" s="2">
        <v>7689</v>
      </c>
      <c r="E202" s="1" t="s">
        <v>328</v>
      </c>
      <c r="F202" s="3">
        <v>33696</v>
      </c>
      <c r="G202" s="1" t="s">
        <v>1</v>
      </c>
      <c r="H202" s="1" t="s">
        <v>7</v>
      </c>
      <c r="I202" s="3">
        <v>44607</v>
      </c>
      <c r="J202" s="3"/>
      <c r="K202" s="1" t="s">
        <v>361</v>
      </c>
      <c r="L202" s="1" t="s">
        <v>356</v>
      </c>
      <c r="M202" s="1" t="s">
        <v>8</v>
      </c>
      <c r="N202" s="1" t="s">
        <v>352</v>
      </c>
      <c r="O202" s="1" t="s">
        <v>364</v>
      </c>
      <c r="P202" s="1">
        <v>5</v>
      </c>
      <c r="Q202" s="1">
        <v>4</v>
      </c>
      <c r="R202" s="1">
        <v>3</v>
      </c>
      <c r="S202" s="3">
        <v>44166</v>
      </c>
      <c r="T202" s="7">
        <f t="shared" si="3"/>
        <v>1.8767123287671232</v>
      </c>
    </row>
    <row r="203" spans="1:20" x14ac:dyDescent="0.3">
      <c r="A203" s="1" t="s">
        <v>599</v>
      </c>
      <c r="B203" s="1" t="s">
        <v>212</v>
      </c>
      <c r="C203" s="1" t="s">
        <v>16</v>
      </c>
      <c r="D203" s="2">
        <v>13486</v>
      </c>
      <c r="E203" s="1" t="s">
        <v>323</v>
      </c>
      <c r="F203" s="3">
        <v>33394</v>
      </c>
      <c r="G203" s="1" t="s">
        <v>1</v>
      </c>
      <c r="H203" s="1" t="s">
        <v>349</v>
      </c>
      <c r="I203" s="3">
        <v>45107</v>
      </c>
      <c r="J203" s="3"/>
      <c r="K203" s="1" t="s">
        <v>361</v>
      </c>
      <c r="L203" s="1" t="s">
        <v>356</v>
      </c>
      <c r="M203" s="1" t="s">
        <v>9</v>
      </c>
      <c r="N203" s="1" t="s">
        <v>701</v>
      </c>
      <c r="O203" s="1" t="s">
        <v>364</v>
      </c>
      <c r="P203" s="1">
        <v>5</v>
      </c>
      <c r="Q203" s="1">
        <v>5</v>
      </c>
      <c r="R203" s="1">
        <v>6</v>
      </c>
      <c r="S203" s="3">
        <v>44166</v>
      </c>
      <c r="T203" s="7">
        <f t="shared" si="3"/>
        <v>0.50684931506849318</v>
      </c>
    </row>
    <row r="204" spans="1:20" x14ac:dyDescent="0.3">
      <c r="A204" s="1" t="s">
        <v>600</v>
      </c>
      <c r="B204" s="1" t="s">
        <v>213</v>
      </c>
      <c r="C204" s="1" t="s">
        <v>16</v>
      </c>
      <c r="D204" s="2">
        <v>11902</v>
      </c>
      <c r="E204" s="1" t="s">
        <v>347</v>
      </c>
      <c r="F204" s="3">
        <v>20836</v>
      </c>
      <c r="G204" s="1" t="s">
        <v>1</v>
      </c>
      <c r="H204" s="1" t="s">
        <v>7</v>
      </c>
      <c r="I204" s="3">
        <v>44479</v>
      </c>
      <c r="J204" s="3"/>
      <c r="K204" s="1" t="s">
        <v>361</v>
      </c>
      <c r="L204" s="1" t="s">
        <v>356</v>
      </c>
      <c r="M204" s="1" t="s">
        <v>9</v>
      </c>
      <c r="N204" s="1" t="s">
        <v>701</v>
      </c>
      <c r="O204" s="1" t="s">
        <v>364</v>
      </c>
      <c r="P204" s="1">
        <v>1.55</v>
      </c>
      <c r="Q204" s="1">
        <v>5</v>
      </c>
      <c r="R204" s="1">
        <v>8</v>
      </c>
      <c r="S204" s="3">
        <v>44166</v>
      </c>
      <c r="T204" s="7">
        <f t="shared" si="3"/>
        <v>2.2273972602739724</v>
      </c>
    </row>
    <row r="205" spans="1:20" x14ac:dyDescent="0.3">
      <c r="A205" s="1" t="s">
        <v>601</v>
      </c>
      <c r="B205" s="1" t="s">
        <v>214</v>
      </c>
      <c r="C205" s="1" t="s">
        <v>16</v>
      </c>
      <c r="D205" s="2">
        <v>12364</v>
      </c>
      <c r="E205" s="1" t="s">
        <v>347</v>
      </c>
      <c r="F205" s="3">
        <v>33350</v>
      </c>
      <c r="G205" s="1" t="s">
        <v>17</v>
      </c>
      <c r="H205" s="1" t="s">
        <v>7</v>
      </c>
      <c r="I205" s="3">
        <v>44479</v>
      </c>
      <c r="J205" s="3"/>
      <c r="K205" s="1" t="s">
        <v>361</v>
      </c>
      <c r="L205" s="1" t="s">
        <v>356</v>
      </c>
      <c r="M205" s="1" t="s">
        <v>9</v>
      </c>
      <c r="N205" s="1" t="s">
        <v>701</v>
      </c>
      <c r="O205" s="1" t="s">
        <v>364</v>
      </c>
      <c r="P205" s="1">
        <v>4.46</v>
      </c>
      <c r="Q205" s="1">
        <v>5</v>
      </c>
      <c r="R205" s="1">
        <v>6</v>
      </c>
      <c r="S205" s="3">
        <v>44166</v>
      </c>
      <c r="T205" s="7">
        <f t="shared" si="3"/>
        <v>2.2273972602739724</v>
      </c>
    </row>
    <row r="206" spans="1:20" x14ac:dyDescent="0.3">
      <c r="A206" s="1" t="s">
        <v>602</v>
      </c>
      <c r="B206" s="1" t="s">
        <v>215</v>
      </c>
      <c r="C206" s="1" t="s">
        <v>16</v>
      </c>
      <c r="D206" s="2">
        <v>11836</v>
      </c>
      <c r="E206" s="1" t="s">
        <v>347</v>
      </c>
      <c r="F206" s="3">
        <v>32386</v>
      </c>
      <c r="G206" s="1" t="s">
        <v>591</v>
      </c>
      <c r="H206" s="1" t="s">
        <v>7</v>
      </c>
      <c r="I206" s="3">
        <v>45107</v>
      </c>
      <c r="J206" s="3"/>
      <c r="K206" s="1" t="s">
        <v>361</v>
      </c>
      <c r="L206" s="1" t="s">
        <v>356</v>
      </c>
      <c r="M206" s="1" t="s">
        <v>9</v>
      </c>
      <c r="N206" s="1" t="s">
        <v>352</v>
      </c>
      <c r="O206" s="1" t="s">
        <v>364</v>
      </c>
      <c r="P206" s="1">
        <v>3.27</v>
      </c>
      <c r="Q206" s="1">
        <v>4</v>
      </c>
      <c r="R206" s="1">
        <v>5</v>
      </c>
      <c r="S206" s="3">
        <v>44166</v>
      </c>
      <c r="T206" s="7">
        <f t="shared" si="3"/>
        <v>0.50684931506849318</v>
      </c>
    </row>
    <row r="207" spans="1:20" x14ac:dyDescent="0.3">
      <c r="A207" s="1" t="s">
        <v>603</v>
      </c>
      <c r="B207" s="1" t="s">
        <v>216</v>
      </c>
      <c r="C207" s="1" t="s">
        <v>16</v>
      </c>
      <c r="D207" s="2">
        <v>11660</v>
      </c>
      <c r="E207" s="1" t="s">
        <v>347</v>
      </c>
      <c r="F207" s="3">
        <v>25819</v>
      </c>
      <c r="G207" s="1" t="s">
        <v>17</v>
      </c>
      <c r="H207" s="1" t="s">
        <v>349</v>
      </c>
      <c r="I207" s="3">
        <v>44479</v>
      </c>
      <c r="J207" s="3"/>
      <c r="K207" s="1" t="s">
        <v>361</v>
      </c>
      <c r="L207" s="1" t="s">
        <v>356</v>
      </c>
      <c r="M207" s="1" t="s">
        <v>9</v>
      </c>
      <c r="N207" s="1" t="s">
        <v>701</v>
      </c>
      <c r="O207" s="1" t="s">
        <v>364</v>
      </c>
      <c r="P207" s="1">
        <v>5</v>
      </c>
      <c r="Q207" s="1">
        <v>3</v>
      </c>
      <c r="R207" s="1">
        <v>4</v>
      </c>
      <c r="S207" s="3">
        <v>44166</v>
      </c>
      <c r="T207" s="7">
        <f t="shared" si="3"/>
        <v>2.2273972602739724</v>
      </c>
    </row>
    <row r="208" spans="1:20" x14ac:dyDescent="0.3">
      <c r="A208" s="1" t="s">
        <v>604</v>
      </c>
      <c r="B208" s="1" t="s">
        <v>217</v>
      </c>
      <c r="C208" s="1" t="s">
        <v>16</v>
      </c>
      <c r="D208" s="2">
        <v>12144</v>
      </c>
      <c r="E208" s="1" t="s">
        <v>347</v>
      </c>
      <c r="F208" s="3">
        <v>30351</v>
      </c>
      <c r="G208" s="1" t="s">
        <v>1</v>
      </c>
      <c r="H208" s="1" t="s">
        <v>349</v>
      </c>
      <c r="I208" s="3">
        <v>44649</v>
      </c>
      <c r="J208" s="3"/>
      <c r="K208" s="1" t="s">
        <v>361</v>
      </c>
      <c r="L208" s="1" t="s">
        <v>356</v>
      </c>
      <c r="M208" s="1" t="s">
        <v>9</v>
      </c>
      <c r="N208" s="1" t="s">
        <v>701</v>
      </c>
      <c r="O208" s="1" t="s">
        <v>364</v>
      </c>
      <c r="P208" s="1">
        <v>1.06</v>
      </c>
      <c r="Q208" s="1">
        <v>4</v>
      </c>
      <c r="R208" s="1">
        <v>8</v>
      </c>
      <c r="S208" s="3">
        <v>44166</v>
      </c>
      <c r="T208" s="7">
        <f t="shared" si="3"/>
        <v>1.7616438356164383</v>
      </c>
    </row>
    <row r="209" spans="1:20" x14ac:dyDescent="0.3">
      <c r="A209" s="1" t="s">
        <v>605</v>
      </c>
      <c r="B209" s="1" t="s">
        <v>218</v>
      </c>
      <c r="C209" s="1" t="s">
        <v>16</v>
      </c>
      <c r="D209" s="2">
        <v>4730</v>
      </c>
      <c r="E209" s="1" t="s">
        <v>343</v>
      </c>
      <c r="F209" s="3">
        <v>33131</v>
      </c>
      <c r="G209" s="1" t="s">
        <v>1</v>
      </c>
      <c r="H209" s="1" t="s">
        <v>7</v>
      </c>
      <c r="I209" s="3">
        <v>44423</v>
      </c>
      <c r="J209" s="3">
        <v>44665</v>
      </c>
      <c r="K209" s="1" t="s">
        <v>362</v>
      </c>
      <c r="L209" s="1" t="s">
        <v>354</v>
      </c>
      <c r="M209" s="1" t="s">
        <v>8</v>
      </c>
      <c r="N209" s="1" t="s">
        <v>353</v>
      </c>
      <c r="O209" s="1" t="s">
        <v>365</v>
      </c>
      <c r="P209" s="1">
        <v>3.24</v>
      </c>
      <c r="Q209" s="1">
        <v>3</v>
      </c>
      <c r="R209" s="1">
        <v>4</v>
      </c>
      <c r="S209" s="3" t="s">
        <v>14</v>
      </c>
      <c r="T209" s="7">
        <f t="shared" si="3"/>
        <v>0.66301369863013704</v>
      </c>
    </row>
    <row r="210" spans="1:20" x14ac:dyDescent="0.3">
      <c r="A210" s="1" t="s">
        <v>606</v>
      </c>
      <c r="B210" s="1" t="s">
        <v>219</v>
      </c>
      <c r="C210" s="1" t="s">
        <v>16</v>
      </c>
      <c r="D210" s="2">
        <v>4510</v>
      </c>
      <c r="E210" s="1" t="s">
        <v>343</v>
      </c>
      <c r="F210" s="3">
        <v>33767</v>
      </c>
      <c r="G210" s="1" t="s">
        <v>1</v>
      </c>
      <c r="H210" s="1" t="s">
        <v>7</v>
      </c>
      <c r="I210" s="3">
        <v>43368</v>
      </c>
      <c r="J210" s="3">
        <v>44098</v>
      </c>
      <c r="K210" s="1" t="s">
        <v>357</v>
      </c>
      <c r="L210" s="1" t="s">
        <v>355</v>
      </c>
      <c r="M210" s="1" t="s">
        <v>8</v>
      </c>
      <c r="N210" s="1" t="s">
        <v>352</v>
      </c>
      <c r="O210" s="1" t="s">
        <v>364</v>
      </c>
      <c r="P210" s="1">
        <v>3.8</v>
      </c>
      <c r="Q210" s="1">
        <v>4</v>
      </c>
      <c r="R210" s="1">
        <v>4</v>
      </c>
      <c r="S210" s="3" t="s">
        <v>14</v>
      </c>
      <c r="T210" s="7">
        <f t="shared" si="3"/>
        <v>2</v>
      </c>
    </row>
    <row r="211" spans="1:20" x14ac:dyDescent="0.3">
      <c r="A211" s="1" t="s">
        <v>607</v>
      </c>
      <c r="B211" s="1" t="s">
        <v>220</v>
      </c>
      <c r="C211" s="1" t="s">
        <v>16</v>
      </c>
      <c r="D211" s="2">
        <v>9460</v>
      </c>
      <c r="E211" s="1" t="s">
        <v>332</v>
      </c>
      <c r="F211" s="3">
        <v>33331</v>
      </c>
      <c r="G211" s="1" t="s">
        <v>1</v>
      </c>
      <c r="H211" s="1" t="s">
        <v>349</v>
      </c>
      <c r="I211" s="3">
        <v>44383</v>
      </c>
      <c r="J211" s="3">
        <v>44903</v>
      </c>
      <c r="K211" s="1" t="s">
        <v>362</v>
      </c>
      <c r="L211" s="1" t="s">
        <v>354</v>
      </c>
      <c r="M211" s="1" t="s">
        <v>9</v>
      </c>
      <c r="N211" s="1" t="s">
        <v>353</v>
      </c>
      <c r="O211" s="1" t="s">
        <v>365</v>
      </c>
      <c r="P211" s="1">
        <v>1.87</v>
      </c>
      <c r="Q211" s="1">
        <v>4</v>
      </c>
      <c r="R211" s="1">
        <v>5</v>
      </c>
      <c r="S211" s="3" t="s">
        <v>14</v>
      </c>
      <c r="T211" s="7">
        <f t="shared" si="3"/>
        <v>1.4246575342465753</v>
      </c>
    </row>
    <row r="212" spans="1:20" x14ac:dyDescent="0.3">
      <c r="A212" s="1" t="s">
        <v>608</v>
      </c>
      <c r="B212" s="1" t="s">
        <v>221</v>
      </c>
      <c r="C212" s="1" t="s">
        <v>16</v>
      </c>
      <c r="D212" s="2">
        <v>10670</v>
      </c>
      <c r="E212" s="1" t="s">
        <v>332</v>
      </c>
      <c r="F212" s="3">
        <v>28054</v>
      </c>
      <c r="G212" s="1" t="s">
        <v>1</v>
      </c>
      <c r="H212" s="1" t="s">
        <v>349</v>
      </c>
      <c r="I212" s="3">
        <v>44607</v>
      </c>
      <c r="J212" s="3">
        <v>44634</v>
      </c>
      <c r="K212" s="1" t="s">
        <v>10</v>
      </c>
      <c r="L212" s="1" t="s">
        <v>354</v>
      </c>
      <c r="M212" s="1" t="s">
        <v>9</v>
      </c>
      <c r="N212" s="1" t="s">
        <v>353</v>
      </c>
      <c r="O212" s="1" t="s">
        <v>364</v>
      </c>
      <c r="P212" s="1">
        <v>1.87</v>
      </c>
      <c r="Q212" s="1">
        <v>4</v>
      </c>
      <c r="R212" s="1">
        <v>4</v>
      </c>
      <c r="S212" s="3" t="s">
        <v>14</v>
      </c>
      <c r="T212" s="7">
        <f t="shared" si="3"/>
        <v>7.3972602739726029E-2</v>
      </c>
    </row>
    <row r="213" spans="1:20" x14ac:dyDescent="0.3">
      <c r="A213" s="1" t="s">
        <v>609</v>
      </c>
      <c r="B213" s="1" t="s">
        <v>222</v>
      </c>
      <c r="C213" s="1" t="s">
        <v>16</v>
      </c>
      <c r="D213" s="2">
        <v>8822</v>
      </c>
      <c r="E213" s="1" t="s">
        <v>332</v>
      </c>
      <c r="F213" s="3">
        <v>33426</v>
      </c>
      <c r="G213" s="1" t="s">
        <v>17</v>
      </c>
      <c r="H213" s="1" t="s">
        <v>7</v>
      </c>
      <c r="I213" s="3">
        <v>44242</v>
      </c>
      <c r="J213" s="3">
        <v>44613</v>
      </c>
      <c r="K213" s="1" t="s">
        <v>10</v>
      </c>
      <c r="L213" s="1" t="s">
        <v>354</v>
      </c>
      <c r="M213" s="1" t="s">
        <v>9</v>
      </c>
      <c r="N213" s="1" t="s">
        <v>701</v>
      </c>
      <c r="O213" s="1" t="s">
        <v>364</v>
      </c>
      <c r="P213" s="1">
        <v>4.33</v>
      </c>
      <c r="Q213" s="1">
        <v>3</v>
      </c>
      <c r="R213" s="1">
        <v>7</v>
      </c>
      <c r="S213" s="3" t="s">
        <v>14</v>
      </c>
      <c r="T213" s="7">
        <f t="shared" si="3"/>
        <v>1.0164383561643835</v>
      </c>
    </row>
    <row r="214" spans="1:20" x14ac:dyDescent="0.3">
      <c r="A214" s="1" t="s">
        <v>610</v>
      </c>
      <c r="B214" s="1" t="s">
        <v>223</v>
      </c>
      <c r="C214" s="1" t="s">
        <v>16</v>
      </c>
      <c r="D214" s="2">
        <v>9020</v>
      </c>
      <c r="E214" s="1" t="s">
        <v>341</v>
      </c>
      <c r="F214" s="3">
        <v>32636</v>
      </c>
      <c r="G214" s="1" t="s">
        <v>17</v>
      </c>
      <c r="H214" s="1" t="s">
        <v>7</v>
      </c>
      <c r="I214" s="3">
        <v>44207</v>
      </c>
      <c r="J214" s="3">
        <v>44930</v>
      </c>
      <c r="K214" s="1" t="s">
        <v>362</v>
      </c>
      <c r="L214" s="1" t="s">
        <v>354</v>
      </c>
      <c r="M214" s="1" t="s">
        <v>9</v>
      </c>
      <c r="N214" s="1" t="s">
        <v>353</v>
      </c>
      <c r="O214" s="1" t="s">
        <v>365</v>
      </c>
      <c r="P214" s="1">
        <v>1.62</v>
      </c>
      <c r="Q214" s="1">
        <v>4</v>
      </c>
      <c r="R214" s="1">
        <v>5</v>
      </c>
      <c r="S214" s="3" t="s">
        <v>14</v>
      </c>
      <c r="T214" s="7">
        <f t="shared" si="3"/>
        <v>1.9808219178082191</v>
      </c>
    </row>
    <row r="215" spans="1:20" x14ac:dyDescent="0.3">
      <c r="A215" s="1" t="s">
        <v>611</v>
      </c>
      <c r="B215" s="1" t="s">
        <v>224</v>
      </c>
      <c r="C215" s="1" t="s">
        <v>16</v>
      </c>
      <c r="D215" s="2">
        <v>9900</v>
      </c>
      <c r="E215" s="1" t="s">
        <v>341</v>
      </c>
      <c r="F215" s="3">
        <v>33953</v>
      </c>
      <c r="G215" s="1" t="s">
        <v>591</v>
      </c>
      <c r="H215" s="1" t="s">
        <v>349</v>
      </c>
      <c r="I215" s="3">
        <v>44681</v>
      </c>
      <c r="J215" s="3">
        <v>44864</v>
      </c>
      <c r="K215" s="1" t="s">
        <v>362</v>
      </c>
      <c r="L215" s="1" t="s">
        <v>354</v>
      </c>
      <c r="M215" s="1" t="s">
        <v>9</v>
      </c>
      <c r="N215" s="1" t="s">
        <v>353</v>
      </c>
      <c r="O215" s="1" t="s">
        <v>365</v>
      </c>
      <c r="P215" s="1">
        <v>2.19</v>
      </c>
      <c r="Q215" s="1">
        <v>3</v>
      </c>
      <c r="R215" s="1">
        <v>5</v>
      </c>
      <c r="S215" s="3" t="s">
        <v>14</v>
      </c>
      <c r="T215" s="7">
        <f t="shared" si="3"/>
        <v>0.50136986301369868</v>
      </c>
    </row>
    <row r="216" spans="1:20" x14ac:dyDescent="0.3">
      <c r="A216" s="1" t="s">
        <v>612</v>
      </c>
      <c r="B216" s="1" t="s">
        <v>225</v>
      </c>
      <c r="C216" s="1" t="s">
        <v>16</v>
      </c>
      <c r="D216" s="2">
        <v>4620</v>
      </c>
      <c r="E216" s="1" t="s">
        <v>333</v>
      </c>
      <c r="F216" s="3">
        <v>25293</v>
      </c>
      <c r="G216" s="1" t="s">
        <v>17</v>
      </c>
      <c r="H216" s="1" t="s">
        <v>349</v>
      </c>
      <c r="I216" s="3">
        <v>43709</v>
      </c>
      <c r="J216" s="3">
        <v>44661</v>
      </c>
      <c r="K216" s="1" t="s">
        <v>362</v>
      </c>
      <c r="L216" s="1" t="s">
        <v>354</v>
      </c>
      <c r="M216" s="1" t="s">
        <v>9</v>
      </c>
      <c r="N216" s="1" t="s">
        <v>353</v>
      </c>
      <c r="O216" s="1" t="s">
        <v>365</v>
      </c>
      <c r="P216" s="1">
        <v>2.5099999999999998</v>
      </c>
      <c r="Q216" s="1">
        <v>4</v>
      </c>
      <c r="R216" s="1">
        <v>6</v>
      </c>
      <c r="S216" s="3" t="s">
        <v>14</v>
      </c>
      <c r="T216" s="7">
        <f t="shared" si="3"/>
        <v>2.6082191780821917</v>
      </c>
    </row>
    <row r="217" spans="1:20" x14ac:dyDescent="0.3">
      <c r="A217" s="1" t="s">
        <v>613</v>
      </c>
      <c r="B217" s="1" t="s">
        <v>226</v>
      </c>
      <c r="C217" s="1" t="s">
        <v>16</v>
      </c>
      <c r="D217" s="2">
        <v>6160</v>
      </c>
      <c r="E217" s="1" t="s">
        <v>346</v>
      </c>
      <c r="F217" s="3">
        <v>34093</v>
      </c>
      <c r="G217" s="1" t="s">
        <v>17</v>
      </c>
      <c r="H217" s="1" t="s">
        <v>7</v>
      </c>
      <c r="I217" s="3">
        <v>44681</v>
      </c>
      <c r="J217" s="3">
        <v>44899</v>
      </c>
      <c r="K217" s="1" t="s">
        <v>11</v>
      </c>
      <c r="L217" s="1" t="s">
        <v>355</v>
      </c>
      <c r="M217" s="1" t="s">
        <v>9</v>
      </c>
      <c r="N217" s="1" t="s">
        <v>353</v>
      </c>
      <c r="O217" s="1" t="s">
        <v>364</v>
      </c>
      <c r="P217" s="1">
        <v>5</v>
      </c>
      <c r="Q217" s="1">
        <v>3</v>
      </c>
      <c r="R217" s="1">
        <v>5</v>
      </c>
      <c r="S217" s="3" t="s">
        <v>14</v>
      </c>
      <c r="T217" s="7">
        <f t="shared" si="3"/>
        <v>0.59726027397260273</v>
      </c>
    </row>
    <row r="218" spans="1:20" x14ac:dyDescent="0.3">
      <c r="A218" s="1" t="s">
        <v>614</v>
      </c>
      <c r="B218" s="1" t="s">
        <v>227</v>
      </c>
      <c r="C218" s="1" t="s">
        <v>27</v>
      </c>
      <c r="D218" s="2">
        <v>10670</v>
      </c>
      <c r="E218" s="1" t="s">
        <v>346</v>
      </c>
      <c r="F218" s="3">
        <v>33737</v>
      </c>
      <c r="G218" s="1" t="s">
        <v>1</v>
      </c>
      <c r="H218" s="1" t="s">
        <v>7</v>
      </c>
      <c r="I218" s="3">
        <v>43135</v>
      </c>
      <c r="J218" s="3">
        <v>43956</v>
      </c>
      <c r="K218" s="1" t="s">
        <v>358</v>
      </c>
      <c r="L218" s="1" t="s">
        <v>354</v>
      </c>
      <c r="M218" s="1" t="s">
        <v>9</v>
      </c>
      <c r="N218" s="1" t="s">
        <v>353</v>
      </c>
      <c r="O218" s="1" t="s">
        <v>365</v>
      </c>
      <c r="P218" s="1">
        <v>2.5499999999999998</v>
      </c>
      <c r="Q218" s="1">
        <v>2</v>
      </c>
      <c r="R218" s="1">
        <v>4</v>
      </c>
      <c r="S218" s="3" t="s">
        <v>14</v>
      </c>
      <c r="T218" s="7">
        <f t="shared" si="3"/>
        <v>2.2493150684931509</v>
      </c>
    </row>
    <row r="219" spans="1:20" x14ac:dyDescent="0.3">
      <c r="A219" s="1" t="s">
        <v>615</v>
      </c>
      <c r="B219" s="1" t="s">
        <v>228</v>
      </c>
      <c r="C219" s="1" t="s">
        <v>13</v>
      </c>
      <c r="D219" s="2">
        <v>11495</v>
      </c>
      <c r="E219" s="1" t="s">
        <v>346</v>
      </c>
      <c r="F219" s="3">
        <v>30731</v>
      </c>
      <c r="G219" s="1" t="s">
        <v>17</v>
      </c>
      <c r="H219" s="1" t="s">
        <v>349</v>
      </c>
      <c r="I219" s="3">
        <v>43291</v>
      </c>
      <c r="J219" s="3">
        <v>44750</v>
      </c>
      <c r="K219" s="1" t="s">
        <v>357</v>
      </c>
      <c r="L219" s="1" t="s">
        <v>355</v>
      </c>
      <c r="M219" s="1" t="s">
        <v>9</v>
      </c>
      <c r="N219" s="1" t="s">
        <v>352</v>
      </c>
      <c r="O219" s="1" t="s">
        <v>366</v>
      </c>
      <c r="P219" s="1">
        <v>1.1000000000000001</v>
      </c>
      <c r="Q219" s="1">
        <v>5</v>
      </c>
      <c r="R219" s="1">
        <v>3</v>
      </c>
      <c r="S219" s="3" t="s">
        <v>14</v>
      </c>
      <c r="T219" s="7">
        <f t="shared" si="3"/>
        <v>3.9972602739726026</v>
      </c>
    </row>
    <row r="220" spans="1:20" x14ac:dyDescent="0.3">
      <c r="A220" s="1" t="s">
        <v>616</v>
      </c>
      <c r="B220" s="1" t="s">
        <v>229</v>
      </c>
      <c r="C220" s="1" t="s">
        <v>16</v>
      </c>
      <c r="D220" s="2">
        <v>9992</v>
      </c>
      <c r="E220" s="1" t="s">
        <v>346</v>
      </c>
      <c r="F220" s="3">
        <v>32306</v>
      </c>
      <c r="G220" s="1" t="s">
        <v>17</v>
      </c>
      <c r="H220" s="1" t="s">
        <v>349</v>
      </c>
      <c r="I220" s="3">
        <v>43879</v>
      </c>
      <c r="J220" s="3">
        <v>44300</v>
      </c>
      <c r="K220" s="1" t="s">
        <v>11</v>
      </c>
      <c r="L220" s="1" t="s">
        <v>355</v>
      </c>
      <c r="M220" s="1" t="s">
        <v>9</v>
      </c>
      <c r="N220" s="1" t="s">
        <v>352</v>
      </c>
      <c r="O220" s="1" t="s">
        <v>364</v>
      </c>
      <c r="P220" s="1">
        <v>1.1100000000000001</v>
      </c>
      <c r="Q220" s="1">
        <v>3</v>
      </c>
      <c r="R220" s="1">
        <v>4</v>
      </c>
      <c r="S220" s="3" t="s">
        <v>14</v>
      </c>
      <c r="T220" s="7">
        <f t="shared" si="3"/>
        <v>1.1534246575342466</v>
      </c>
    </row>
    <row r="221" spans="1:20" x14ac:dyDescent="0.3">
      <c r="A221" s="1" t="s">
        <v>617</v>
      </c>
      <c r="B221" s="1" t="s">
        <v>230</v>
      </c>
      <c r="C221" s="1" t="s">
        <v>16</v>
      </c>
      <c r="D221" s="2">
        <v>13640</v>
      </c>
      <c r="E221" s="1" t="s">
        <v>323</v>
      </c>
      <c r="F221" s="3">
        <v>29344</v>
      </c>
      <c r="G221" s="1" t="s">
        <v>17</v>
      </c>
      <c r="H221" s="1" t="s">
        <v>7</v>
      </c>
      <c r="I221" s="3">
        <v>44649</v>
      </c>
      <c r="J221" s="3">
        <v>45093</v>
      </c>
      <c r="K221" s="1" t="s">
        <v>357</v>
      </c>
      <c r="L221" s="1" t="s">
        <v>355</v>
      </c>
      <c r="M221" s="1" t="s">
        <v>9</v>
      </c>
      <c r="N221" s="1" t="s">
        <v>701</v>
      </c>
      <c r="O221" s="1" t="s">
        <v>364</v>
      </c>
      <c r="P221" s="1">
        <v>4.96</v>
      </c>
      <c r="Q221" s="1">
        <v>3</v>
      </c>
      <c r="R221" s="1">
        <v>6</v>
      </c>
      <c r="S221" s="3" t="s">
        <v>14</v>
      </c>
      <c r="T221" s="7">
        <f t="shared" si="3"/>
        <v>1.2164383561643837</v>
      </c>
    </row>
    <row r="222" spans="1:20" x14ac:dyDescent="0.3">
      <c r="A222" s="1" t="s">
        <v>618</v>
      </c>
      <c r="B222" s="1" t="s">
        <v>231</v>
      </c>
      <c r="C222" s="1" t="s">
        <v>16</v>
      </c>
      <c r="D222" s="2">
        <v>12804</v>
      </c>
      <c r="E222" s="1" t="s">
        <v>323</v>
      </c>
      <c r="F222" s="3">
        <v>25413</v>
      </c>
      <c r="G222" s="1" t="s">
        <v>17</v>
      </c>
      <c r="H222" s="1" t="s">
        <v>349</v>
      </c>
      <c r="I222" s="3">
        <v>44243</v>
      </c>
      <c r="J222" s="3">
        <v>44975</v>
      </c>
      <c r="K222" s="1" t="s">
        <v>362</v>
      </c>
      <c r="L222" s="1" t="s">
        <v>354</v>
      </c>
      <c r="M222" s="1" t="s">
        <v>9</v>
      </c>
      <c r="N222" s="1" t="s">
        <v>353</v>
      </c>
      <c r="O222" s="1" t="s">
        <v>365</v>
      </c>
      <c r="P222" s="1">
        <v>2.94</v>
      </c>
      <c r="Q222" s="1">
        <v>2</v>
      </c>
      <c r="R222" s="1">
        <v>7</v>
      </c>
      <c r="S222" s="3" t="s">
        <v>14</v>
      </c>
      <c r="T222" s="7">
        <f t="shared" si="3"/>
        <v>2.0054794520547947</v>
      </c>
    </row>
    <row r="223" spans="1:20" x14ac:dyDescent="0.3">
      <c r="A223" s="1" t="s">
        <v>619</v>
      </c>
      <c r="B223" s="1" t="s">
        <v>232</v>
      </c>
      <c r="C223" s="1" t="s">
        <v>16</v>
      </c>
      <c r="D223" s="2">
        <v>12870</v>
      </c>
      <c r="E223" s="1" t="s">
        <v>341</v>
      </c>
      <c r="F223" s="3">
        <v>28636</v>
      </c>
      <c r="G223" s="1" t="s">
        <v>1</v>
      </c>
      <c r="H223" s="1" t="s">
        <v>349</v>
      </c>
      <c r="I223" s="3">
        <v>44681</v>
      </c>
      <c r="J223" s="3">
        <v>44844</v>
      </c>
      <c r="K223" s="1" t="s">
        <v>357</v>
      </c>
      <c r="L223" s="1" t="s">
        <v>355</v>
      </c>
      <c r="M223" s="1" t="s">
        <v>9</v>
      </c>
      <c r="N223" s="1" t="s">
        <v>701</v>
      </c>
      <c r="O223" s="1" t="s">
        <v>364</v>
      </c>
      <c r="P223" s="1">
        <v>3.88</v>
      </c>
      <c r="Q223" s="1">
        <v>3</v>
      </c>
      <c r="R223" s="1">
        <v>7</v>
      </c>
      <c r="S223" s="3" t="s">
        <v>14</v>
      </c>
      <c r="T223" s="7">
        <f t="shared" si="3"/>
        <v>0.44657534246575342</v>
      </c>
    </row>
    <row r="224" spans="1:20" x14ac:dyDescent="0.3">
      <c r="A224" s="1" t="s">
        <v>620</v>
      </c>
      <c r="B224" s="1" t="s">
        <v>233</v>
      </c>
      <c r="C224" s="1" t="s">
        <v>16</v>
      </c>
      <c r="D224" s="2">
        <v>10000</v>
      </c>
      <c r="E224" s="1" t="s">
        <v>326</v>
      </c>
      <c r="F224" s="3">
        <v>25207</v>
      </c>
      <c r="G224" s="1" t="s">
        <v>1</v>
      </c>
      <c r="H224" s="1" t="s">
        <v>7</v>
      </c>
      <c r="I224" s="3">
        <v>43326</v>
      </c>
      <c r="J224" s="3">
        <v>44234</v>
      </c>
      <c r="K224" s="1" t="s">
        <v>357</v>
      </c>
      <c r="L224" s="1" t="s">
        <v>355</v>
      </c>
      <c r="M224" s="1" t="s">
        <v>350</v>
      </c>
      <c r="N224" s="1" t="s">
        <v>351</v>
      </c>
      <c r="O224" s="1" t="s">
        <v>364</v>
      </c>
      <c r="P224" s="1">
        <v>3.14</v>
      </c>
      <c r="Q224" s="1">
        <v>5</v>
      </c>
      <c r="R224" s="1">
        <v>0</v>
      </c>
      <c r="S224" s="3" t="s">
        <v>14</v>
      </c>
      <c r="T224" s="7">
        <f t="shared" si="3"/>
        <v>2.4876712328767123</v>
      </c>
    </row>
    <row r="225" spans="1:20" x14ac:dyDescent="0.3">
      <c r="A225" s="1" t="s">
        <v>621</v>
      </c>
      <c r="B225" s="1" t="s">
        <v>234</v>
      </c>
      <c r="C225" s="1" t="s">
        <v>16</v>
      </c>
      <c r="D225" s="2">
        <v>10000</v>
      </c>
      <c r="E225" s="1" t="s">
        <v>326</v>
      </c>
      <c r="F225" s="3">
        <v>28038</v>
      </c>
      <c r="G225" s="1" t="s">
        <v>591</v>
      </c>
      <c r="H225" s="1" t="s">
        <v>349</v>
      </c>
      <c r="I225" s="3">
        <v>44383</v>
      </c>
      <c r="J225" s="3">
        <v>44689</v>
      </c>
      <c r="K225" s="1" t="s">
        <v>358</v>
      </c>
      <c r="L225" s="1" t="s">
        <v>354</v>
      </c>
      <c r="M225" s="1" t="s">
        <v>350</v>
      </c>
      <c r="N225" s="1" t="s">
        <v>353</v>
      </c>
      <c r="O225" s="1" t="s">
        <v>364</v>
      </c>
      <c r="P225" s="1">
        <v>3.97</v>
      </c>
      <c r="Q225" s="1">
        <v>4</v>
      </c>
      <c r="R225" s="1">
        <v>0</v>
      </c>
      <c r="S225" s="3" t="s">
        <v>14</v>
      </c>
      <c r="T225" s="7">
        <f t="shared" si="3"/>
        <v>0.83835616438356164</v>
      </c>
    </row>
    <row r="226" spans="1:20" x14ac:dyDescent="0.3">
      <c r="A226" s="1" t="s">
        <v>622</v>
      </c>
      <c r="B226" s="1" t="s">
        <v>235</v>
      </c>
      <c r="C226" s="1" t="s">
        <v>16</v>
      </c>
      <c r="D226" s="2">
        <v>10000</v>
      </c>
      <c r="E226" s="1" t="s">
        <v>326</v>
      </c>
      <c r="F226" s="3">
        <v>27273</v>
      </c>
      <c r="G226" s="1" t="s">
        <v>17</v>
      </c>
      <c r="H226" s="1" t="s">
        <v>349</v>
      </c>
      <c r="I226" s="3">
        <v>43283</v>
      </c>
      <c r="J226" s="3">
        <v>44499</v>
      </c>
      <c r="K226" s="1" t="s">
        <v>359</v>
      </c>
      <c r="L226" s="1" t="s">
        <v>355</v>
      </c>
      <c r="M226" s="1" t="s">
        <v>350</v>
      </c>
      <c r="N226" s="1" t="s">
        <v>353</v>
      </c>
      <c r="O226" s="1" t="s">
        <v>364</v>
      </c>
      <c r="P226" s="1">
        <v>4.5</v>
      </c>
      <c r="Q226" s="1">
        <v>5</v>
      </c>
      <c r="R226" s="1">
        <v>0</v>
      </c>
      <c r="S226" s="3" t="s">
        <v>14</v>
      </c>
      <c r="T226" s="7">
        <f t="shared" si="3"/>
        <v>3.3315068493150686</v>
      </c>
    </row>
    <row r="227" spans="1:20" x14ac:dyDescent="0.3">
      <c r="A227" s="1" t="s">
        <v>623</v>
      </c>
      <c r="B227" s="1" t="s">
        <v>236</v>
      </c>
      <c r="C227" s="1" t="s">
        <v>16</v>
      </c>
      <c r="D227" s="2">
        <v>13255</v>
      </c>
      <c r="E227" s="1" t="s">
        <v>327</v>
      </c>
      <c r="F227" s="3">
        <v>34648</v>
      </c>
      <c r="G227" s="1" t="s">
        <v>1</v>
      </c>
      <c r="H227" s="1" t="s">
        <v>349</v>
      </c>
      <c r="I227" s="3">
        <v>43291</v>
      </c>
      <c r="J227" s="3">
        <v>44309</v>
      </c>
      <c r="K227" s="1" t="s">
        <v>11</v>
      </c>
      <c r="L227" s="1" t="s">
        <v>355</v>
      </c>
      <c r="M227" s="1" t="s">
        <v>350</v>
      </c>
      <c r="N227" s="1" t="s">
        <v>351</v>
      </c>
      <c r="O227" s="1" t="s">
        <v>364</v>
      </c>
      <c r="P227" s="1">
        <v>1.9</v>
      </c>
      <c r="Q227" s="1">
        <v>2.5</v>
      </c>
      <c r="R227" s="1">
        <v>0</v>
      </c>
      <c r="S227" s="3" t="s">
        <v>14</v>
      </c>
      <c r="T227" s="7">
        <f t="shared" si="3"/>
        <v>2.7890410958904108</v>
      </c>
    </row>
    <row r="228" spans="1:20" x14ac:dyDescent="0.3">
      <c r="A228" s="1" t="s">
        <v>624</v>
      </c>
      <c r="B228" s="1" t="s">
        <v>237</v>
      </c>
      <c r="C228" s="1" t="s">
        <v>16</v>
      </c>
      <c r="D228" s="2">
        <v>12100</v>
      </c>
      <c r="E228" s="1" t="s">
        <v>329</v>
      </c>
      <c r="F228" s="3">
        <v>32669</v>
      </c>
      <c r="G228" s="1" t="s">
        <v>17</v>
      </c>
      <c r="H228" s="1" t="s">
        <v>7</v>
      </c>
      <c r="I228" s="3">
        <v>43151</v>
      </c>
      <c r="J228" s="3">
        <v>44787</v>
      </c>
      <c r="K228" s="1" t="s">
        <v>357</v>
      </c>
      <c r="L228" s="1" t="s">
        <v>355</v>
      </c>
      <c r="M228" s="1" t="s">
        <v>8</v>
      </c>
      <c r="N228" s="1" t="s">
        <v>352</v>
      </c>
      <c r="O228" s="1" t="s">
        <v>364</v>
      </c>
      <c r="P228" s="1">
        <v>4.1500000000000004</v>
      </c>
      <c r="Q228" s="1">
        <v>4</v>
      </c>
      <c r="R228" s="1">
        <v>0</v>
      </c>
      <c r="S228" s="3" t="s">
        <v>14</v>
      </c>
      <c r="T228" s="7">
        <f t="shared" si="3"/>
        <v>4.4821917808219176</v>
      </c>
    </row>
    <row r="229" spans="1:20" x14ac:dyDescent="0.3">
      <c r="A229" s="1" t="s">
        <v>625</v>
      </c>
      <c r="B229" s="1" t="s">
        <v>238</v>
      </c>
      <c r="C229" s="1" t="s">
        <v>16</v>
      </c>
      <c r="D229" s="2">
        <v>11110</v>
      </c>
      <c r="E229" s="1" t="s">
        <v>703</v>
      </c>
      <c r="F229" s="3">
        <v>27669</v>
      </c>
      <c r="G229" s="1" t="s">
        <v>17</v>
      </c>
      <c r="H229" s="1" t="s">
        <v>349</v>
      </c>
      <c r="I229" s="3">
        <v>44103</v>
      </c>
      <c r="J229" s="3">
        <v>44384</v>
      </c>
      <c r="K229" s="1" t="s">
        <v>11</v>
      </c>
      <c r="L229" s="1" t="s">
        <v>355</v>
      </c>
      <c r="M229" s="1" t="s">
        <v>700</v>
      </c>
      <c r="N229" s="1" t="s">
        <v>351</v>
      </c>
      <c r="O229" s="1" t="s">
        <v>364</v>
      </c>
      <c r="P229" s="1">
        <v>3.39</v>
      </c>
      <c r="Q229" s="1">
        <v>3</v>
      </c>
      <c r="R229" s="1">
        <v>0</v>
      </c>
      <c r="S229" s="3" t="s">
        <v>14</v>
      </c>
      <c r="T229" s="7">
        <f t="shared" si="3"/>
        <v>0.76986301369863008</v>
      </c>
    </row>
    <row r="230" spans="1:20" x14ac:dyDescent="0.3">
      <c r="A230" s="1" t="s">
        <v>626</v>
      </c>
      <c r="B230" s="1" t="s">
        <v>239</v>
      </c>
      <c r="C230" s="1" t="s">
        <v>16</v>
      </c>
      <c r="D230" s="2">
        <v>10670</v>
      </c>
      <c r="E230" s="1" t="s">
        <v>703</v>
      </c>
      <c r="F230" s="3">
        <v>28130</v>
      </c>
      <c r="G230" s="1" t="s">
        <v>17</v>
      </c>
      <c r="H230" s="1" t="s">
        <v>7</v>
      </c>
      <c r="I230" s="3">
        <v>43373</v>
      </c>
      <c r="J230" s="3">
        <v>44906</v>
      </c>
      <c r="K230" s="1" t="s">
        <v>358</v>
      </c>
      <c r="L230" s="1" t="s">
        <v>354</v>
      </c>
      <c r="M230" s="1" t="s">
        <v>700</v>
      </c>
      <c r="N230" s="1" t="s">
        <v>701</v>
      </c>
      <c r="O230" s="1" t="s">
        <v>364</v>
      </c>
      <c r="P230" s="1">
        <v>4.78</v>
      </c>
      <c r="Q230" s="1">
        <v>4</v>
      </c>
      <c r="R230" s="1">
        <v>0</v>
      </c>
      <c r="S230" s="3" t="s">
        <v>14</v>
      </c>
      <c r="T230" s="7">
        <f t="shared" si="3"/>
        <v>4.2</v>
      </c>
    </row>
    <row r="231" spans="1:20" x14ac:dyDescent="0.3">
      <c r="A231" s="1" t="s">
        <v>627</v>
      </c>
      <c r="B231" s="1" t="s">
        <v>240</v>
      </c>
      <c r="C231" s="1" t="s">
        <v>27</v>
      </c>
      <c r="D231" s="2">
        <v>9240</v>
      </c>
      <c r="E231" s="1" t="s">
        <v>703</v>
      </c>
      <c r="F231" s="3">
        <v>29904</v>
      </c>
      <c r="G231" s="1" t="s">
        <v>17</v>
      </c>
      <c r="H231" s="1" t="s">
        <v>7</v>
      </c>
      <c r="I231" s="3">
        <v>44247</v>
      </c>
      <c r="J231" s="3">
        <v>44827</v>
      </c>
      <c r="K231" s="1" t="s">
        <v>11</v>
      </c>
      <c r="L231" s="1" t="s">
        <v>355</v>
      </c>
      <c r="M231" s="1" t="s">
        <v>700</v>
      </c>
      <c r="N231" s="1" t="s">
        <v>353</v>
      </c>
      <c r="O231" s="1" t="s">
        <v>365</v>
      </c>
      <c r="P231" s="1">
        <v>2.34</v>
      </c>
      <c r="Q231" s="1">
        <v>2</v>
      </c>
      <c r="R231" s="1">
        <v>0</v>
      </c>
      <c r="S231" s="3" t="s">
        <v>14</v>
      </c>
      <c r="T231" s="7">
        <f t="shared" si="3"/>
        <v>1.5890410958904109</v>
      </c>
    </row>
    <row r="232" spans="1:20" x14ac:dyDescent="0.3">
      <c r="A232" s="1" t="s">
        <v>628</v>
      </c>
      <c r="B232" s="1" t="s">
        <v>241</v>
      </c>
      <c r="C232" s="1" t="s">
        <v>16</v>
      </c>
      <c r="D232" s="2">
        <v>8470</v>
      </c>
      <c r="E232" s="1" t="s">
        <v>703</v>
      </c>
      <c r="F232" s="3">
        <v>30198</v>
      </c>
      <c r="G232" s="1" t="s">
        <v>1</v>
      </c>
      <c r="H232" s="1" t="s">
        <v>7</v>
      </c>
      <c r="I232" s="3">
        <v>43032</v>
      </c>
      <c r="J232" s="3">
        <v>45064</v>
      </c>
      <c r="K232" s="1" t="s">
        <v>357</v>
      </c>
      <c r="L232" s="1" t="s">
        <v>355</v>
      </c>
      <c r="M232" s="1" t="s">
        <v>700</v>
      </c>
      <c r="N232" s="1" t="s">
        <v>353</v>
      </c>
      <c r="O232" s="1" t="s">
        <v>364</v>
      </c>
      <c r="P232" s="1">
        <v>4.16</v>
      </c>
      <c r="Q232" s="1">
        <v>5</v>
      </c>
      <c r="R232" s="1">
        <v>0</v>
      </c>
      <c r="S232" s="3" t="s">
        <v>14</v>
      </c>
      <c r="T232" s="7">
        <f t="shared" si="3"/>
        <v>5.5671232876712331</v>
      </c>
    </row>
    <row r="233" spans="1:20" x14ac:dyDescent="0.3">
      <c r="A233" s="1" t="s">
        <v>629</v>
      </c>
      <c r="B233" s="1" t="s">
        <v>242</v>
      </c>
      <c r="C233" s="1" t="s">
        <v>16</v>
      </c>
      <c r="D233" s="2">
        <v>7370</v>
      </c>
      <c r="E233" s="1" t="s">
        <v>703</v>
      </c>
      <c r="F233" s="3">
        <v>22232</v>
      </c>
      <c r="G233" s="1" t="s">
        <v>1</v>
      </c>
      <c r="H233" s="1" t="s">
        <v>7</v>
      </c>
      <c r="I233" s="3">
        <v>44464</v>
      </c>
      <c r="J233" s="3">
        <v>44592</v>
      </c>
      <c r="K233" s="1" t="s">
        <v>357</v>
      </c>
      <c r="L233" s="1" t="s">
        <v>355</v>
      </c>
      <c r="M233" s="1" t="s">
        <v>700</v>
      </c>
      <c r="N233" s="1" t="s">
        <v>352</v>
      </c>
      <c r="O233" s="1" t="s">
        <v>364</v>
      </c>
      <c r="P233" s="1">
        <v>1.18</v>
      </c>
      <c r="Q233" s="1">
        <v>3</v>
      </c>
      <c r="R233" s="1">
        <v>0</v>
      </c>
      <c r="S233" s="3" t="s">
        <v>14</v>
      </c>
      <c r="T233" s="7">
        <f t="shared" si="3"/>
        <v>0.35068493150684932</v>
      </c>
    </row>
    <row r="234" spans="1:20" x14ac:dyDescent="0.3">
      <c r="A234" s="1" t="s">
        <v>583</v>
      </c>
      <c r="B234" s="1" t="s">
        <v>243</v>
      </c>
      <c r="C234" s="1" t="s">
        <v>16</v>
      </c>
      <c r="D234" s="2">
        <v>4620</v>
      </c>
      <c r="E234" s="1" t="s">
        <v>704</v>
      </c>
      <c r="F234" s="3">
        <v>32380</v>
      </c>
      <c r="G234" s="1" t="s">
        <v>1</v>
      </c>
      <c r="H234" s="1" t="s">
        <v>349</v>
      </c>
      <c r="I234" s="3">
        <v>43277</v>
      </c>
      <c r="J234" s="3">
        <v>44879</v>
      </c>
      <c r="K234" s="1" t="s">
        <v>359</v>
      </c>
      <c r="L234" s="1" t="s">
        <v>355</v>
      </c>
      <c r="M234" s="1" t="s">
        <v>700</v>
      </c>
      <c r="N234" s="1" t="s">
        <v>352</v>
      </c>
      <c r="O234" s="1" t="s">
        <v>364</v>
      </c>
      <c r="P234" s="1">
        <v>2</v>
      </c>
      <c r="Q234" s="1">
        <v>4</v>
      </c>
      <c r="R234" s="1">
        <v>0</v>
      </c>
      <c r="S234" s="3" t="s">
        <v>14</v>
      </c>
      <c r="T234" s="7">
        <f t="shared" si="3"/>
        <v>4.3890410958904109</v>
      </c>
    </row>
    <row r="235" spans="1:20" x14ac:dyDescent="0.3">
      <c r="A235" s="1" t="s">
        <v>630</v>
      </c>
      <c r="B235" s="1" t="s">
        <v>244</v>
      </c>
      <c r="C235" s="1" t="s">
        <v>16</v>
      </c>
      <c r="D235" s="2">
        <v>5280</v>
      </c>
      <c r="E235" s="1" t="s">
        <v>704</v>
      </c>
      <c r="F235" s="3">
        <v>27615</v>
      </c>
      <c r="G235" s="1" t="s">
        <v>1</v>
      </c>
      <c r="H235" s="1" t="s">
        <v>7</v>
      </c>
      <c r="I235" s="3">
        <v>44464</v>
      </c>
      <c r="J235" s="3">
        <v>44804</v>
      </c>
      <c r="K235" s="1" t="s">
        <v>11</v>
      </c>
      <c r="L235" s="1" t="s">
        <v>355</v>
      </c>
      <c r="M235" s="1" t="s">
        <v>700</v>
      </c>
      <c r="N235" s="1" t="s">
        <v>353</v>
      </c>
      <c r="O235" s="1" t="s">
        <v>364</v>
      </c>
      <c r="P235" s="1">
        <v>3.49</v>
      </c>
      <c r="Q235" s="1">
        <v>4</v>
      </c>
      <c r="R235" s="1">
        <v>0</v>
      </c>
      <c r="S235" s="3" t="s">
        <v>14</v>
      </c>
      <c r="T235" s="7">
        <f t="shared" si="3"/>
        <v>0.93150684931506844</v>
      </c>
    </row>
    <row r="236" spans="1:20" x14ac:dyDescent="0.3">
      <c r="A236" s="1" t="s">
        <v>631</v>
      </c>
      <c r="B236" s="1">
        <v>1201431032</v>
      </c>
      <c r="C236" s="1" t="s">
        <v>16</v>
      </c>
      <c r="D236" s="2">
        <v>3300</v>
      </c>
      <c r="E236" s="1" t="s">
        <v>704</v>
      </c>
      <c r="F236" s="3">
        <v>28378</v>
      </c>
      <c r="G236" s="1" t="s">
        <v>17</v>
      </c>
      <c r="H236" s="1" t="s">
        <v>349</v>
      </c>
      <c r="I236" s="3">
        <v>44462</v>
      </c>
      <c r="J236" s="3">
        <v>44829</v>
      </c>
      <c r="K236" s="1" t="s">
        <v>362</v>
      </c>
      <c r="L236" s="1" t="s">
        <v>354</v>
      </c>
      <c r="M236" s="1" t="s">
        <v>700</v>
      </c>
      <c r="N236" s="1" t="s">
        <v>353</v>
      </c>
      <c r="O236" s="1" t="s">
        <v>365</v>
      </c>
      <c r="P236" s="1">
        <v>3.08</v>
      </c>
      <c r="Q236" s="1">
        <v>4</v>
      </c>
      <c r="R236" s="1">
        <v>0</v>
      </c>
      <c r="S236" s="3" t="s">
        <v>14</v>
      </c>
      <c r="T236" s="7">
        <f t="shared" si="3"/>
        <v>1.0054794520547945</v>
      </c>
    </row>
    <row r="237" spans="1:20" x14ac:dyDescent="0.3">
      <c r="A237" s="1" t="s">
        <v>632</v>
      </c>
      <c r="B237" s="1" t="s">
        <v>245</v>
      </c>
      <c r="C237" s="1" t="s">
        <v>16</v>
      </c>
      <c r="D237" s="2">
        <v>4840</v>
      </c>
      <c r="E237" s="1" t="s">
        <v>704</v>
      </c>
      <c r="F237" s="3">
        <v>32228</v>
      </c>
      <c r="G237" s="1" t="s">
        <v>17</v>
      </c>
      <c r="H237" s="1" t="s">
        <v>7</v>
      </c>
      <c r="I237" s="3">
        <v>43834</v>
      </c>
      <c r="J237" s="3">
        <v>45071</v>
      </c>
      <c r="K237" s="1" t="s">
        <v>11</v>
      </c>
      <c r="L237" s="1" t="s">
        <v>355</v>
      </c>
      <c r="M237" s="1" t="s">
        <v>700</v>
      </c>
      <c r="N237" s="1" t="s">
        <v>701</v>
      </c>
      <c r="O237" s="1" t="s">
        <v>364</v>
      </c>
      <c r="P237" s="1">
        <v>3.18</v>
      </c>
      <c r="Q237" s="1">
        <v>3</v>
      </c>
      <c r="R237" s="1">
        <v>0</v>
      </c>
      <c r="S237" s="3" t="s">
        <v>14</v>
      </c>
      <c r="T237" s="7">
        <f t="shared" si="3"/>
        <v>3.3890410958904109</v>
      </c>
    </row>
    <row r="238" spans="1:20" x14ac:dyDescent="0.3">
      <c r="A238" s="1" t="s">
        <v>633</v>
      </c>
      <c r="B238" s="1" t="s">
        <v>246</v>
      </c>
      <c r="C238" s="1" t="s">
        <v>16</v>
      </c>
      <c r="D238" s="2">
        <v>4840</v>
      </c>
      <c r="E238" s="1" t="s">
        <v>704</v>
      </c>
      <c r="F238" s="3">
        <v>33438</v>
      </c>
      <c r="G238" s="1" t="s">
        <v>1</v>
      </c>
      <c r="H238" s="1" t="s">
        <v>349</v>
      </c>
      <c r="I238" s="3">
        <v>43235</v>
      </c>
      <c r="J238" s="3">
        <v>44858</v>
      </c>
      <c r="K238" s="1" t="s">
        <v>11</v>
      </c>
      <c r="L238" s="1" t="s">
        <v>355</v>
      </c>
      <c r="M238" s="1" t="s">
        <v>700</v>
      </c>
      <c r="N238" s="1" t="s">
        <v>351</v>
      </c>
      <c r="O238" s="1" t="s">
        <v>364</v>
      </c>
      <c r="P238" s="1">
        <v>3.45</v>
      </c>
      <c r="Q238" s="1">
        <v>3.4</v>
      </c>
      <c r="R238" s="1">
        <v>0</v>
      </c>
      <c r="S238" s="3" t="s">
        <v>14</v>
      </c>
      <c r="T238" s="7">
        <f t="shared" si="3"/>
        <v>4.4465753424657537</v>
      </c>
    </row>
    <row r="239" spans="1:20" x14ac:dyDescent="0.3">
      <c r="A239" s="1" t="s">
        <v>588</v>
      </c>
      <c r="B239" s="1" t="s">
        <v>247</v>
      </c>
      <c r="C239" s="1" t="s">
        <v>16</v>
      </c>
      <c r="D239" s="2">
        <v>5280</v>
      </c>
      <c r="E239" s="1" t="s">
        <v>704</v>
      </c>
      <c r="F239" s="3">
        <v>29036</v>
      </c>
      <c r="G239" s="1" t="s">
        <v>17</v>
      </c>
      <c r="H239" s="1" t="s">
        <v>7</v>
      </c>
      <c r="I239" s="3">
        <v>43373</v>
      </c>
      <c r="J239" s="3">
        <v>44951</v>
      </c>
      <c r="K239" s="1" t="s">
        <v>11</v>
      </c>
      <c r="L239" s="1" t="s">
        <v>355</v>
      </c>
      <c r="M239" s="1" t="s">
        <v>700</v>
      </c>
      <c r="N239" s="1" t="s">
        <v>353</v>
      </c>
      <c r="O239" s="1" t="s">
        <v>364</v>
      </c>
      <c r="P239" s="1">
        <v>2.1</v>
      </c>
      <c r="Q239" s="1">
        <v>2.8</v>
      </c>
      <c r="R239" s="1">
        <v>0</v>
      </c>
      <c r="S239" s="3" t="s">
        <v>14</v>
      </c>
      <c r="T239" s="7">
        <f t="shared" si="3"/>
        <v>4.3232876712328769</v>
      </c>
    </row>
    <row r="240" spans="1:20" x14ac:dyDescent="0.3">
      <c r="A240" s="1" t="s">
        <v>589</v>
      </c>
      <c r="B240" s="1" t="s">
        <v>248</v>
      </c>
      <c r="C240" s="1" t="s">
        <v>16</v>
      </c>
      <c r="D240" s="2">
        <v>4400</v>
      </c>
      <c r="E240" s="1" t="s">
        <v>704</v>
      </c>
      <c r="F240" s="3">
        <v>25815</v>
      </c>
      <c r="G240" s="1" t="s">
        <v>591</v>
      </c>
      <c r="H240" s="1" t="s">
        <v>349</v>
      </c>
      <c r="I240" s="3">
        <v>43226</v>
      </c>
      <c r="J240" s="3">
        <v>44324</v>
      </c>
      <c r="K240" s="1" t="s">
        <v>357</v>
      </c>
      <c r="L240" s="1" t="s">
        <v>355</v>
      </c>
      <c r="M240" s="1" t="s">
        <v>700</v>
      </c>
      <c r="N240" s="1" t="s">
        <v>351</v>
      </c>
      <c r="O240" s="1" t="s">
        <v>364</v>
      </c>
      <c r="P240" s="1">
        <v>3.98</v>
      </c>
      <c r="Q240" s="1">
        <v>4</v>
      </c>
      <c r="R240" s="1">
        <v>0</v>
      </c>
      <c r="S240" s="3" t="s">
        <v>14</v>
      </c>
      <c r="T240" s="7">
        <f t="shared" si="3"/>
        <v>3.0082191780821916</v>
      </c>
    </row>
    <row r="241" spans="1:20" x14ac:dyDescent="0.3">
      <c r="A241" s="1" t="s">
        <v>590</v>
      </c>
      <c r="B241" s="1" t="s">
        <v>249</v>
      </c>
      <c r="C241" s="1" t="s">
        <v>16</v>
      </c>
      <c r="D241" s="2">
        <v>4620</v>
      </c>
      <c r="E241" s="1" t="s">
        <v>704</v>
      </c>
      <c r="F241" s="3">
        <v>25819</v>
      </c>
      <c r="G241" s="1" t="s">
        <v>17</v>
      </c>
      <c r="H241" s="1" t="s">
        <v>7</v>
      </c>
      <c r="I241" s="3">
        <v>43235</v>
      </c>
      <c r="J241" s="3">
        <v>44750</v>
      </c>
      <c r="K241" s="1" t="s">
        <v>11</v>
      </c>
      <c r="L241" s="1" t="s">
        <v>355</v>
      </c>
      <c r="M241" s="1" t="s">
        <v>700</v>
      </c>
      <c r="N241" s="1" t="s">
        <v>353</v>
      </c>
      <c r="O241" s="1" t="s">
        <v>364</v>
      </c>
      <c r="P241" s="1">
        <v>5</v>
      </c>
      <c r="Q241" s="1">
        <v>3</v>
      </c>
      <c r="R241" s="1">
        <v>0</v>
      </c>
      <c r="S241" s="3" t="s">
        <v>14</v>
      </c>
      <c r="T241" s="7">
        <f t="shared" si="3"/>
        <v>4.1506849315068495</v>
      </c>
    </row>
    <row r="242" spans="1:20" x14ac:dyDescent="0.3">
      <c r="A242" s="1" t="s">
        <v>634</v>
      </c>
      <c r="B242" s="1" t="s">
        <v>250</v>
      </c>
      <c r="C242" s="1" t="s">
        <v>16</v>
      </c>
      <c r="D242" s="2">
        <v>3960</v>
      </c>
      <c r="E242" s="1" t="s">
        <v>704</v>
      </c>
      <c r="F242" s="3">
        <v>34122</v>
      </c>
      <c r="G242" s="1" t="s">
        <v>17</v>
      </c>
      <c r="H242" s="1" t="s">
        <v>7</v>
      </c>
      <c r="I242" s="3">
        <v>44322</v>
      </c>
      <c r="J242" s="3">
        <v>44894</v>
      </c>
      <c r="K242" s="1" t="s">
        <v>11</v>
      </c>
      <c r="L242" s="1" t="s">
        <v>355</v>
      </c>
      <c r="M242" s="1" t="s">
        <v>700</v>
      </c>
      <c r="N242" s="1" t="s">
        <v>353</v>
      </c>
      <c r="O242" s="1" t="s">
        <v>364</v>
      </c>
      <c r="P242" s="1">
        <v>5</v>
      </c>
      <c r="Q242" s="1">
        <v>3</v>
      </c>
      <c r="R242" s="1">
        <v>0</v>
      </c>
      <c r="S242" s="3" t="s">
        <v>14</v>
      </c>
      <c r="T242" s="7">
        <f t="shared" si="3"/>
        <v>1.5671232876712329</v>
      </c>
    </row>
    <row r="243" spans="1:20" x14ac:dyDescent="0.3">
      <c r="A243" s="1" t="s">
        <v>635</v>
      </c>
      <c r="B243" s="1" t="s">
        <v>251</v>
      </c>
      <c r="C243" s="1" t="s">
        <v>19</v>
      </c>
      <c r="D243" s="2">
        <v>4840</v>
      </c>
      <c r="E243" s="1" t="s">
        <v>704</v>
      </c>
      <c r="F243" s="3">
        <v>31871</v>
      </c>
      <c r="G243" s="1" t="s">
        <v>1</v>
      </c>
      <c r="H243" s="1" t="s">
        <v>349</v>
      </c>
      <c r="I243" s="3">
        <v>42043</v>
      </c>
      <c r="J243" s="3">
        <v>44832</v>
      </c>
      <c r="K243" s="1" t="s">
        <v>357</v>
      </c>
      <c r="L243" s="1" t="s">
        <v>355</v>
      </c>
      <c r="M243" s="1" t="s">
        <v>700</v>
      </c>
      <c r="N243" s="1" t="s">
        <v>353</v>
      </c>
      <c r="O243" s="1" t="s">
        <v>365</v>
      </c>
      <c r="P243" s="1">
        <v>4.29</v>
      </c>
      <c r="Q243" s="1">
        <v>2</v>
      </c>
      <c r="R243" s="1">
        <v>0</v>
      </c>
      <c r="S243" s="3" t="s">
        <v>14</v>
      </c>
      <c r="T243" s="7">
        <f t="shared" si="3"/>
        <v>7.6410958904109592</v>
      </c>
    </row>
    <row r="244" spans="1:20" x14ac:dyDescent="0.3">
      <c r="A244" s="1" t="s">
        <v>594</v>
      </c>
      <c r="B244" s="1" t="s">
        <v>252</v>
      </c>
      <c r="C244" s="1" t="s">
        <v>16</v>
      </c>
      <c r="D244" s="2">
        <v>3740</v>
      </c>
      <c r="E244" s="1" t="s">
        <v>704</v>
      </c>
      <c r="F244" s="3">
        <v>29189</v>
      </c>
      <c r="G244" s="1" t="s">
        <v>1</v>
      </c>
      <c r="H244" s="1" t="s">
        <v>7</v>
      </c>
      <c r="I244" s="3">
        <v>44104</v>
      </c>
      <c r="J244" s="3">
        <v>44530</v>
      </c>
      <c r="K244" s="1" t="s">
        <v>357</v>
      </c>
      <c r="L244" s="1" t="s">
        <v>355</v>
      </c>
      <c r="M244" s="1" t="s">
        <v>700</v>
      </c>
      <c r="N244" s="1" t="s">
        <v>352</v>
      </c>
      <c r="O244" s="1" t="s">
        <v>364</v>
      </c>
      <c r="P244" s="1">
        <v>1.79</v>
      </c>
      <c r="Q244" s="1">
        <v>4</v>
      </c>
      <c r="R244" s="1">
        <v>0</v>
      </c>
      <c r="S244" s="3" t="s">
        <v>14</v>
      </c>
      <c r="T244" s="7">
        <f t="shared" si="3"/>
        <v>1.167123287671233</v>
      </c>
    </row>
    <row r="245" spans="1:20" x14ac:dyDescent="0.3">
      <c r="A245" s="1" t="s">
        <v>636</v>
      </c>
      <c r="B245" s="1" t="s">
        <v>253</v>
      </c>
      <c r="C245" s="1" t="s">
        <v>16</v>
      </c>
      <c r="D245" s="2">
        <v>4400</v>
      </c>
      <c r="E245" s="1" t="s">
        <v>704</v>
      </c>
      <c r="F245" s="3">
        <v>34934</v>
      </c>
      <c r="G245" s="1" t="s">
        <v>1</v>
      </c>
      <c r="H245" s="1" t="s">
        <v>7</v>
      </c>
      <c r="I245" s="3">
        <v>43499</v>
      </c>
      <c r="J245" s="3">
        <v>43996</v>
      </c>
      <c r="K245" s="1" t="s">
        <v>357</v>
      </c>
      <c r="L245" s="1" t="s">
        <v>355</v>
      </c>
      <c r="M245" s="1" t="s">
        <v>700</v>
      </c>
      <c r="N245" s="1" t="s">
        <v>353</v>
      </c>
      <c r="O245" s="1" t="s">
        <v>364</v>
      </c>
      <c r="P245" s="1">
        <v>3.35</v>
      </c>
      <c r="Q245" s="1">
        <v>4</v>
      </c>
      <c r="R245" s="1">
        <v>0</v>
      </c>
      <c r="S245" s="3" t="s">
        <v>14</v>
      </c>
      <c r="T245" s="7">
        <f t="shared" si="3"/>
        <v>1.3616438356164384</v>
      </c>
    </row>
    <row r="246" spans="1:20" x14ac:dyDescent="0.3">
      <c r="A246" s="1" t="s">
        <v>637</v>
      </c>
      <c r="B246" s="1" t="s">
        <v>254</v>
      </c>
      <c r="C246" s="1" t="s">
        <v>13</v>
      </c>
      <c r="D246" s="2">
        <v>4620</v>
      </c>
      <c r="E246" s="1" t="s">
        <v>704</v>
      </c>
      <c r="F246" s="3">
        <v>28574</v>
      </c>
      <c r="G246" s="1" t="s">
        <v>1</v>
      </c>
      <c r="H246" s="1" t="s">
        <v>349</v>
      </c>
      <c r="I246" s="3">
        <v>43963</v>
      </c>
      <c r="J246" s="3">
        <v>44740</v>
      </c>
      <c r="K246" s="1" t="s">
        <v>11</v>
      </c>
      <c r="L246" s="1" t="s">
        <v>355</v>
      </c>
      <c r="M246" s="1" t="s">
        <v>700</v>
      </c>
      <c r="N246" s="1" t="s">
        <v>352</v>
      </c>
      <c r="O246" s="1" t="s">
        <v>366</v>
      </c>
      <c r="P246" s="1">
        <v>1.97</v>
      </c>
      <c r="Q246" s="1">
        <v>2.8</v>
      </c>
      <c r="R246" s="1">
        <v>0</v>
      </c>
      <c r="S246" s="3" t="s">
        <v>14</v>
      </c>
      <c r="T246" s="7">
        <f t="shared" si="3"/>
        <v>2.128767123287671</v>
      </c>
    </row>
    <row r="247" spans="1:20" x14ac:dyDescent="0.3">
      <c r="A247" s="1" t="s">
        <v>638</v>
      </c>
      <c r="B247" s="1" t="s">
        <v>255</v>
      </c>
      <c r="C247" s="1" t="s">
        <v>27</v>
      </c>
      <c r="D247" s="2">
        <v>3960</v>
      </c>
      <c r="E247" s="1" t="s">
        <v>704</v>
      </c>
      <c r="F247" s="3">
        <v>34489</v>
      </c>
      <c r="G247" s="1" t="s">
        <v>1</v>
      </c>
      <c r="H247" s="1" t="s">
        <v>349</v>
      </c>
      <c r="I247" s="3">
        <v>44059</v>
      </c>
      <c r="J247" s="3">
        <v>44251</v>
      </c>
      <c r="K247" s="1" t="s">
        <v>10</v>
      </c>
      <c r="L247" s="1" t="s">
        <v>354</v>
      </c>
      <c r="M247" s="1" t="s">
        <v>700</v>
      </c>
      <c r="N247" s="1" t="s">
        <v>351</v>
      </c>
      <c r="O247" s="1" t="s">
        <v>365</v>
      </c>
      <c r="P247" s="1">
        <v>1.04</v>
      </c>
      <c r="Q247" s="1">
        <v>3</v>
      </c>
      <c r="R247" s="1">
        <v>0</v>
      </c>
      <c r="S247" s="3" t="s">
        <v>14</v>
      </c>
      <c r="T247" s="7">
        <f t="shared" si="3"/>
        <v>0.52602739726027392</v>
      </c>
    </row>
    <row r="248" spans="1:20" x14ac:dyDescent="0.3">
      <c r="A248" s="1" t="s">
        <v>598</v>
      </c>
      <c r="B248" s="1" t="s">
        <v>256</v>
      </c>
      <c r="C248" s="1" t="s">
        <v>16</v>
      </c>
      <c r="D248" s="2">
        <v>4840</v>
      </c>
      <c r="E248" s="1" t="s">
        <v>704</v>
      </c>
      <c r="F248" s="3">
        <v>27528</v>
      </c>
      <c r="G248" s="1" t="s">
        <v>1</v>
      </c>
      <c r="H248" s="1" t="s">
        <v>349</v>
      </c>
      <c r="I248" s="3">
        <v>44387</v>
      </c>
      <c r="J248" s="3">
        <v>44514</v>
      </c>
      <c r="K248" s="1" t="s">
        <v>362</v>
      </c>
      <c r="L248" s="1" t="s">
        <v>354</v>
      </c>
      <c r="M248" s="1" t="s">
        <v>700</v>
      </c>
      <c r="N248" s="1" t="s">
        <v>351</v>
      </c>
      <c r="O248" s="1" t="s">
        <v>365</v>
      </c>
      <c r="P248" s="1">
        <v>4.24</v>
      </c>
      <c r="Q248" s="1">
        <v>4</v>
      </c>
      <c r="R248" s="1">
        <v>0</v>
      </c>
      <c r="S248" s="3" t="s">
        <v>14</v>
      </c>
      <c r="T248" s="7">
        <f t="shared" si="3"/>
        <v>0.34794520547945207</v>
      </c>
    </row>
    <row r="249" spans="1:20" x14ac:dyDescent="0.3">
      <c r="A249" s="1" t="s">
        <v>639</v>
      </c>
      <c r="B249" s="1" t="s">
        <v>257</v>
      </c>
      <c r="C249" s="1" t="s">
        <v>16</v>
      </c>
      <c r="D249" s="2">
        <v>4620</v>
      </c>
      <c r="E249" s="1" t="s">
        <v>704</v>
      </c>
      <c r="F249" s="3">
        <v>33344</v>
      </c>
      <c r="G249" s="1" t="s">
        <v>1</v>
      </c>
      <c r="H249" s="1" t="s">
        <v>7</v>
      </c>
      <c r="I249" s="3">
        <v>43373</v>
      </c>
      <c r="J249" s="3">
        <v>44929</v>
      </c>
      <c r="K249" s="1" t="s">
        <v>11</v>
      </c>
      <c r="L249" s="1" t="s">
        <v>355</v>
      </c>
      <c r="M249" s="1" t="s">
        <v>700</v>
      </c>
      <c r="N249" s="1" t="s">
        <v>353</v>
      </c>
      <c r="O249" s="1" t="s">
        <v>364</v>
      </c>
      <c r="P249" s="1">
        <v>4</v>
      </c>
      <c r="Q249" s="1">
        <v>3.4</v>
      </c>
      <c r="R249" s="1">
        <v>0</v>
      </c>
      <c r="S249" s="3" t="s">
        <v>14</v>
      </c>
      <c r="T249" s="7">
        <f t="shared" si="3"/>
        <v>4.2630136986301368</v>
      </c>
    </row>
    <row r="250" spans="1:20" x14ac:dyDescent="0.3">
      <c r="A250" s="1" t="s">
        <v>600</v>
      </c>
      <c r="B250" s="1" t="s">
        <v>258</v>
      </c>
      <c r="C250" s="1" t="s">
        <v>16</v>
      </c>
      <c r="D250" s="2">
        <v>3960</v>
      </c>
      <c r="E250" s="1" t="s">
        <v>704</v>
      </c>
      <c r="F250" s="3">
        <v>30685</v>
      </c>
      <c r="G250" s="1" t="s">
        <v>1</v>
      </c>
      <c r="H250" s="1" t="s">
        <v>7</v>
      </c>
      <c r="I250" s="3">
        <v>43282</v>
      </c>
      <c r="J250" s="3">
        <v>44530</v>
      </c>
      <c r="K250" s="1" t="s">
        <v>359</v>
      </c>
      <c r="L250" s="1" t="s">
        <v>355</v>
      </c>
      <c r="M250" s="1" t="s">
        <v>700</v>
      </c>
      <c r="N250" s="1" t="s">
        <v>351</v>
      </c>
      <c r="O250" s="1" t="s">
        <v>364</v>
      </c>
      <c r="P250" s="1">
        <v>3.89</v>
      </c>
      <c r="Q250" s="1">
        <v>4</v>
      </c>
      <c r="R250" s="1">
        <v>0</v>
      </c>
      <c r="S250" s="3" t="s">
        <v>14</v>
      </c>
      <c r="T250" s="7">
        <f t="shared" si="3"/>
        <v>3.419178082191781</v>
      </c>
    </row>
    <row r="251" spans="1:20" x14ac:dyDescent="0.3">
      <c r="A251" s="1" t="s">
        <v>601</v>
      </c>
      <c r="B251" s="1" t="s">
        <v>259</v>
      </c>
      <c r="C251" s="1" t="s">
        <v>16</v>
      </c>
      <c r="D251" s="2">
        <v>4400</v>
      </c>
      <c r="E251" s="1" t="s">
        <v>704</v>
      </c>
      <c r="F251" s="3">
        <v>31979</v>
      </c>
      <c r="G251" s="1" t="s">
        <v>17</v>
      </c>
      <c r="H251" s="1" t="s">
        <v>349</v>
      </c>
      <c r="I251" s="3">
        <v>43235</v>
      </c>
      <c r="J251" s="3">
        <v>44940</v>
      </c>
      <c r="K251" s="1" t="s">
        <v>11</v>
      </c>
      <c r="L251" s="1" t="s">
        <v>355</v>
      </c>
      <c r="M251" s="1" t="s">
        <v>700</v>
      </c>
      <c r="N251" s="1" t="s">
        <v>352</v>
      </c>
      <c r="O251" s="1" t="s">
        <v>364</v>
      </c>
      <c r="P251" s="1">
        <v>5</v>
      </c>
      <c r="Q251" s="1">
        <v>3.1</v>
      </c>
      <c r="R251" s="1">
        <v>0</v>
      </c>
      <c r="S251" s="3" t="s">
        <v>14</v>
      </c>
      <c r="T251" s="7">
        <f t="shared" si="3"/>
        <v>4.6712328767123283</v>
      </c>
    </row>
    <row r="252" spans="1:20" x14ac:dyDescent="0.3">
      <c r="A252" s="1" t="s">
        <v>602</v>
      </c>
      <c r="B252" s="1" t="s">
        <v>260</v>
      </c>
      <c r="C252" s="1" t="s">
        <v>27</v>
      </c>
      <c r="D252" s="2">
        <v>3300</v>
      </c>
      <c r="E252" s="1" t="s">
        <v>704</v>
      </c>
      <c r="F252" s="3">
        <v>31084</v>
      </c>
      <c r="G252" s="1" t="s">
        <v>1</v>
      </c>
      <c r="H252" s="1" t="s">
        <v>349</v>
      </c>
      <c r="I252" s="3">
        <v>43690</v>
      </c>
      <c r="J252" s="3">
        <v>44569</v>
      </c>
      <c r="K252" s="1" t="s">
        <v>357</v>
      </c>
      <c r="L252" s="1" t="s">
        <v>355</v>
      </c>
      <c r="M252" s="1" t="s">
        <v>700</v>
      </c>
      <c r="N252" s="1" t="s">
        <v>351</v>
      </c>
      <c r="O252" s="1" t="s">
        <v>365</v>
      </c>
      <c r="P252" s="1">
        <v>1.27</v>
      </c>
      <c r="Q252" s="1">
        <v>3</v>
      </c>
      <c r="R252" s="1">
        <v>0</v>
      </c>
      <c r="S252" s="3" t="s">
        <v>14</v>
      </c>
      <c r="T252" s="7">
        <f t="shared" si="3"/>
        <v>2.408219178082192</v>
      </c>
    </row>
    <row r="253" spans="1:20" x14ac:dyDescent="0.3">
      <c r="A253" s="1" t="s">
        <v>640</v>
      </c>
      <c r="B253" s="1" t="s">
        <v>261</v>
      </c>
      <c r="C253" s="1" t="s">
        <v>16</v>
      </c>
      <c r="D253" s="2">
        <v>3080</v>
      </c>
      <c r="E253" s="1" t="s">
        <v>704</v>
      </c>
      <c r="F253" s="3">
        <v>32282</v>
      </c>
      <c r="G253" s="1" t="s">
        <v>1</v>
      </c>
      <c r="H253" s="1" t="s">
        <v>349</v>
      </c>
      <c r="I253" s="3">
        <v>43151</v>
      </c>
      <c r="J253" s="3">
        <v>44500</v>
      </c>
      <c r="K253" s="1" t="s">
        <v>11</v>
      </c>
      <c r="L253" s="1" t="s">
        <v>355</v>
      </c>
      <c r="M253" s="1" t="s">
        <v>700</v>
      </c>
      <c r="N253" s="1" t="s">
        <v>353</v>
      </c>
      <c r="O253" s="1" t="s">
        <v>364</v>
      </c>
      <c r="P253" s="1">
        <v>5</v>
      </c>
      <c r="Q253" s="1">
        <v>2.8</v>
      </c>
      <c r="R253" s="1">
        <v>0</v>
      </c>
      <c r="S253" s="3" t="s">
        <v>14</v>
      </c>
      <c r="T253" s="7">
        <f t="shared" si="3"/>
        <v>3.6958904109589041</v>
      </c>
    </row>
    <row r="254" spans="1:20" x14ac:dyDescent="0.3">
      <c r="A254" s="1" t="s">
        <v>641</v>
      </c>
      <c r="B254" s="1" t="s">
        <v>262</v>
      </c>
      <c r="C254" s="1" t="s">
        <v>16</v>
      </c>
      <c r="D254" s="2">
        <v>3300</v>
      </c>
      <c r="E254" s="1" t="s">
        <v>704</v>
      </c>
      <c r="F254" s="3">
        <v>31702</v>
      </c>
      <c r="G254" s="1" t="s">
        <v>17</v>
      </c>
      <c r="H254" s="1" t="s">
        <v>349</v>
      </c>
      <c r="I254" s="3">
        <v>44247</v>
      </c>
      <c r="J254" s="3">
        <v>44293</v>
      </c>
      <c r="K254" s="1" t="s">
        <v>358</v>
      </c>
      <c r="L254" s="1" t="s">
        <v>354</v>
      </c>
      <c r="M254" s="1" t="s">
        <v>700</v>
      </c>
      <c r="N254" s="1" t="s">
        <v>351</v>
      </c>
      <c r="O254" s="1" t="s">
        <v>364</v>
      </c>
      <c r="P254" s="1">
        <v>5</v>
      </c>
      <c r="Q254" s="1">
        <v>4</v>
      </c>
      <c r="R254" s="1">
        <v>0</v>
      </c>
      <c r="S254" s="3" t="s">
        <v>14</v>
      </c>
      <c r="T254" s="7">
        <f t="shared" si="3"/>
        <v>0.12602739726027398</v>
      </c>
    </row>
    <row r="255" spans="1:20" x14ac:dyDescent="0.3">
      <c r="A255" s="1" t="s">
        <v>642</v>
      </c>
      <c r="B255" s="1" t="s">
        <v>263</v>
      </c>
      <c r="C255" s="1" t="s">
        <v>16</v>
      </c>
      <c r="D255" s="2">
        <v>3080</v>
      </c>
      <c r="E255" s="1" t="s">
        <v>704</v>
      </c>
      <c r="F255" s="3">
        <v>26813</v>
      </c>
      <c r="G255" s="1" t="s">
        <v>1</v>
      </c>
      <c r="H255" s="1" t="s">
        <v>349</v>
      </c>
      <c r="I255" s="3">
        <v>43499</v>
      </c>
      <c r="J255" s="3">
        <v>44875</v>
      </c>
      <c r="K255" s="1" t="s">
        <v>359</v>
      </c>
      <c r="L255" s="1" t="s">
        <v>355</v>
      </c>
      <c r="M255" s="1" t="s">
        <v>700</v>
      </c>
      <c r="N255" s="1" t="s">
        <v>352</v>
      </c>
      <c r="O255" s="1" t="s">
        <v>364</v>
      </c>
      <c r="P255" s="1">
        <v>4.18</v>
      </c>
      <c r="Q255" s="1">
        <v>4</v>
      </c>
      <c r="R255" s="1">
        <v>0</v>
      </c>
      <c r="S255" s="3" t="s">
        <v>14</v>
      </c>
      <c r="T255" s="7">
        <f t="shared" si="3"/>
        <v>3.7698630136986302</v>
      </c>
    </row>
    <row r="256" spans="1:20" x14ac:dyDescent="0.3">
      <c r="A256" s="1" t="s">
        <v>606</v>
      </c>
      <c r="B256" s="1" t="s">
        <v>264</v>
      </c>
      <c r="C256" s="1" t="s">
        <v>13</v>
      </c>
      <c r="D256" s="2">
        <v>4620</v>
      </c>
      <c r="E256" s="1" t="s">
        <v>704</v>
      </c>
      <c r="F256" s="3">
        <v>33302</v>
      </c>
      <c r="G256" s="1" t="s">
        <v>1</v>
      </c>
      <c r="H256" s="1" t="s">
        <v>7</v>
      </c>
      <c r="I256" s="3">
        <v>43368</v>
      </c>
      <c r="J256" s="3">
        <v>45140</v>
      </c>
      <c r="K256" s="1" t="s">
        <v>360</v>
      </c>
      <c r="L256" s="1" t="s">
        <v>354</v>
      </c>
      <c r="M256" s="1" t="s">
        <v>700</v>
      </c>
      <c r="N256" s="1" t="s">
        <v>351</v>
      </c>
      <c r="O256" s="1" t="s">
        <v>366</v>
      </c>
      <c r="P256" s="1">
        <v>2.79</v>
      </c>
      <c r="Q256" s="1">
        <v>5</v>
      </c>
      <c r="R256" s="1">
        <v>0</v>
      </c>
      <c r="S256" s="3" t="s">
        <v>14</v>
      </c>
      <c r="T256" s="7">
        <f t="shared" si="3"/>
        <v>4.8547945205479452</v>
      </c>
    </row>
    <row r="257" spans="1:20" x14ac:dyDescent="0.3">
      <c r="A257" s="1" t="s">
        <v>643</v>
      </c>
      <c r="B257" s="1" t="s">
        <v>265</v>
      </c>
      <c r="C257" s="1" t="s">
        <v>27</v>
      </c>
      <c r="D257" s="2">
        <v>3520</v>
      </c>
      <c r="E257" s="1" t="s">
        <v>704</v>
      </c>
      <c r="F257" s="3">
        <v>33054</v>
      </c>
      <c r="G257" s="1" t="s">
        <v>1</v>
      </c>
      <c r="H257" s="1" t="s">
        <v>7</v>
      </c>
      <c r="I257" s="3">
        <v>43373</v>
      </c>
      <c r="J257" s="3">
        <v>45063</v>
      </c>
      <c r="K257" s="1" t="s">
        <v>358</v>
      </c>
      <c r="L257" s="1" t="s">
        <v>354</v>
      </c>
      <c r="M257" s="1" t="s">
        <v>700</v>
      </c>
      <c r="N257" s="1" t="s">
        <v>351</v>
      </c>
      <c r="O257" s="1" t="s">
        <v>365</v>
      </c>
      <c r="P257" s="1">
        <v>3.6</v>
      </c>
      <c r="Q257" s="1">
        <v>3</v>
      </c>
      <c r="R257" s="1">
        <v>0</v>
      </c>
      <c r="S257" s="3" t="s">
        <v>14</v>
      </c>
      <c r="T257" s="7">
        <f t="shared" si="3"/>
        <v>4.6301369863013697</v>
      </c>
    </row>
    <row r="258" spans="1:20" x14ac:dyDescent="0.3">
      <c r="A258" s="1" t="s">
        <v>608</v>
      </c>
      <c r="B258" s="1" t="s">
        <v>266</v>
      </c>
      <c r="C258" s="1" t="s">
        <v>16</v>
      </c>
      <c r="D258" s="2">
        <v>4400</v>
      </c>
      <c r="E258" s="1" t="s">
        <v>704</v>
      </c>
      <c r="F258" s="3">
        <v>32352</v>
      </c>
      <c r="G258" s="1" t="s">
        <v>1</v>
      </c>
      <c r="H258" s="1" t="s">
        <v>349</v>
      </c>
      <c r="I258" s="3">
        <v>44469</v>
      </c>
      <c r="J258" s="3">
        <v>44694</v>
      </c>
      <c r="K258" s="1" t="s">
        <v>357</v>
      </c>
      <c r="L258" s="1" t="s">
        <v>355</v>
      </c>
      <c r="M258" s="1" t="s">
        <v>700</v>
      </c>
      <c r="N258" s="1" t="s">
        <v>351</v>
      </c>
      <c r="O258" s="1" t="s">
        <v>364</v>
      </c>
      <c r="P258" s="1">
        <v>2.81</v>
      </c>
      <c r="Q258" s="1">
        <v>5</v>
      </c>
      <c r="R258" s="1">
        <v>0</v>
      </c>
      <c r="S258" s="3" t="s">
        <v>14</v>
      </c>
      <c r="T258" s="7">
        <f t="shared" si="3"/>
        <v>0.61643835616438358</v>
      </c>
    </row>
    <row r="259" spans="1:20" x14ac:dyDescent="0.3">
      <c r="A259" s="1" t="s">
        <v>644</v>
      </c>
      <c r="B259" s="1" t="s">
        <v>267</v>
      </c>
      <c r="C259" s="1" t="s">
        <v>16</v>
      </c>
      <c r="D259" s="2">
        <v>3520</v>
      </c>
      <c r="E259" s="1" t="s">
        <v>704</v>
      </c>
      <c r="F259" s="3">
        <v>27069</v>
      </c>
      <c r="G259" s="1" t="s">
        <v>1</v>
      </c>
      <c r="H259" s="1" t="s">
        <v>349</v>
      </c>
      <c r="I259" s="3">
        <v>43709</v>
      </c>
      <c r="J259" s="3">
        <v>44738</v>
      </c>
      <c r="K259" s="1" t="s">
        <v>359</v>
      </c>
      <c r="L259" s="1" t="s">
        <v>355</v>
      </c>
      <c r="M259" s="1" t="s">
        <v>700</v>
      </c>
      <c r="N259" s="1" t="s">
        <v>352</v>
      </c>
      <c r="O259" s="1" t="s">
        <v>364</v>
      </c>
      <c r="P259" s="1">
        <v>1.44</v>
      </c>
      <c r="Q259" s="1">
        <v>4</v>
      </c>
      <c r="R259" s="1">
        <v>0</v>
      </c>
      <c r="S259" s="3" t="s">
        <v>14</v>
      </c>
      <c r="T259" s="7">
        <f t="shared" ref="T259:T311" si="4">IF(L259="Activo",(DATE(2024,1,1)-I259)/365,(J259-I259)/365)</f>
        <v>2.8191780821917809</v>
      </c>
    </row>
    <row r="260" spans="1:20" x14ac:dyDescent="0.3">
      <c r="A260" s="1" t="s">
        <v>610</v>
      </c>
      <c r="B260" s="1" t="s">
        <v>268</v>
      </c>
      <c r="C260" s="1" t="s">
        <v>16</v>
      </c>
      <c r="D260" s="2">
        <v>4840</v>
      </c>
      <c r="E260" s="1" t="s">
        <v>704</v>
      </c>
      <c r="F260" s="3">
        <v>28906</v>
      </c>
      <c r="G260" s="1" t="s">
        <v>17</v>
      </c>
      <c r="H260" s="1" t="s">
        <v>7</v>
      </c>
      <c r="I260" s="3">
        <v>44230</v>
      </c>
      <c r="J260" s="3">
        <v>44822</v>
      </c>
      <c r="K260" s="1" t="s">
        <v>11</v>
      </c>
      <c r="L260" s="1" t="s">
        <v>355</v>
      </c>
      <c r="M260" s="1" t="s">
        <v>700</v>
      </c>
      <c r="N260" s="1" t="s">
        <v>352</v>
      </c>
      <c r="O260" s="1" t="s">
        <v>364</v>
      </c>
      <c r="P260" s="1">
        <v>1.98</v>
      </c>
      <c r="Q260" s="1">
        <v>3</v>
      </c>
      <c r="R260" s="1">
        <v>0</v>
      </c>
      <c r="S260" s="3" t="s">
        <v>14</v>
      </c>
      <c r="T260" s="7">
        <f t="shared" si="4"/>
        <v>1.6219178082191781</v>
      </c>
    </row>
    <row r="261" spans="1:20" x14ac:dyDescent="0.3">
      <c r="A261" s="1" t="s">
        <v>611</v>
      </c>
      <c r="B261" s="1" t="s">
        <v>269</v>
      </c>
      <c r="C261" s="1" t="s">
        <v>27</v>
      </c>
      <c r="D261" s="2">
        <v>3300</v>
      </c>
      <c r="E261" s="1" t="s">
        <v>704</v>
      </c>
      <c r="F261" s="3">
        <v>31022</v>
      </c>
      <c r="G261" s="1" t="s">
        <v>17</v>
      </c>
      <c r="H261" s="1" t="s">
        <v>349</v>
      </c>
      <c r="I261" s="3">
        <v>44506</v>
      </c>
      <c r="J261" s="3">
        <v>44826</v>
      </c>
      <c r="K261" s="1" t="s">
        <v>362</v>
      </c>
      <c r="L261" s="1" t="s">
        <v>354</v>
      </c>
      <c r="M261" s="1" t="s">
        <v>700</v>
      </c>
      <c r="N261" s="1" t="s">
        <v>351</v>
      </c>
      <c r="O261" s="1" t="s">
        <v>365</v>
      </c>
      <c r="P261" s="1">
        <v>1.42</v>
      </c>
      <c r="Q261" s="1">
        <v>3</v>
      </c>
      <c r="R261" s="1">
        <v>0</v>
      </c>
      <c r="S261" s="3" t="s">
        <v>14</v>
      </c>
      <c r="T261" s="7">
        <f t="shared" si="4"/>
        <v>0.87671232876712324</v>
      </c>
    </row>
    <row r="262" spans="1:20" x14ac:dyDescent="0.3">
      <c r="A262" s="1" t="s">
        <v>645</v>
      </c>
      <c r="B262" s="1" t="s">
        <v>270</v>
      </c>
      <c r="C262" s="1" t="s">
        <v>16</v>
      </c>
      <c r="D262" s="2">
        <v>3740</v>
      </c>
      <c r="E262" s="1" t="s">
        <v>704</v>
      </c>
      <c r="F262" s="3">
        <v>35192</v>
      </c>
      <c r="G262" s="1" t="s">
        <v>1</v>
      </c>
      <c r="H262" s="1" t="s">
        <v>7</v>
      </c>
      <c r="I262" s="3">
        <v>43193</v>
      </c>
      <c r="J262" s="3">
        <v>43987</v>
      </c>
      <c r="K262" s="1" t="s">
        <v>11</v>
      </c>
      <c r="L262" s="1" t="s">
        <v>355</v>
      </c>
      <c r="M262" s="1" t="s">
        <v>700</v>
      </c>
      <c r="N262" s="1" t="s">
        <v>353</v>
      </c>
      <c r="O262" s="1" t="s">
        <v>364</v>
      </c>
      <c r="P262" s="1">
        <v>5</v>
      </c>
      <c r="Q262" s="1">
        <v>3</v>
      </c>
      <c r="R262" s="1">
        <v>0</v>
      </c>
      <c r="S262" s="3" t="s">
        <v>14</v>
      </c>
      <c r="T262" s="7">
        <f t="shared" si="4"/>
        <v>2.1753424657534248</v>
      </c>
    </row>
    <row r="263" spans="1:20" x14ac:dyDescent="0.3">
      <c r="A263" s="1" t="s">
        <v>646</v>
      </c>
      <c r="B263" s="1" t="s">
        <v>271</v>
      </c>
      <c r="C263" s="1" t="s">
        <v>16</v>
      </c>
      <c r="D263" s="2">
        <v>4180</v>
      </c>
      <c r="E263" s="1" t="s">
        <v>704</v>
      </c>
      <c r="F263" s="3">
        <v>30697</v>
      </c>
      <c r="G263" s="1" t="s">
        <v>1</v>
      </c>
      <c r="H263" s="1" t="s">
        <v>349</v>
      </c>
      <c r="I263" s="3">
        <v>43368</v>
      </c>
      <c r="J263" s="3">
        <v>44061</v>
      </c>
      <c r="K263" s="1" t="s">
        <v>357</v>
      </c>
      <c r="L263" s="1" t="s">
        <v>355</v>
      </c>
      <c r="M263" s="1" t="s">
        <v>700</v>
      </c>
      <c r="N263" s="1" t="s">
        <v>353</v>
      </c>
      <c r="O263" s="1" t="s">
        <v>364</v>
      </c>
      <c r="P263" s="1">
        <v>4.88</v>
      </c>
      <c r="Q263" s="1">
        <v>3</v>
      </c>
      <c r="R263" s="1">
        <v>0</v>
      </c>
      <c r="S263" s="3" t="s">
        <v>14</v>
      </c>
      <c r="T263" s="7">
        <f t="shared" si="4"/>
        <v>1.8986301369863015</v>
      </c>
    </row>
    <row r="264" spans="1:20" x14ac:dyDescent="0.3">
      <c r="A264" s="1" t="s">
        <v>614</v>
      </c>
      <c r="B264" s="1" t="s">
        <v>272</v>
      </c>
      <c r="C264" s="1" t="s">
        <v>19</v>
      </c>
      <c r="D264" s="2">
        <v>4070</v>
      </c>
      <c r="E264" s="1" t="s">
        <v>704</v>
      </c>
      <c r="F264" s="3">
        <v>31319</v>
      </c>
      <c r="G264" s="1" t="s">
        <v>1</v>
      </c>
      <c r="H264" s="1" t="s">
        <v>349</v>
      </c>
      <c r="I264" s="3">
        <v>44285</v>
      </c>
      <c r="J264" s="3">
        <v>44930</v>
      </c>
      <c r="K264" s="1" t="s">
        <v>362</v>
      </c>
      <c r="L264" s="1" t="s">
        <v>354</v>
      </c>
      <c r="M264" s="1" t="s">
        <v>700</v>
      </c>
      <c r="N264" s="1" t="s">
        <v>351</v>
      </c>
      <c r="O264" s="1" t="s">
        <v>365</v>
      </c>
      <c r="P264" s="1">
        <v>3.09</v>
      </c>
      <c r="Q264" s="1">
        <v>2</v>
      </c>
      <c r="R264" s="1">
        <v>0</v>
      </c>
      <c r="S264" s="3" t="s">
        <v>14</v>
      </c>
      <c r="T264" s="7">
        <f t="shared" si="4"/>
        <v>1.7671232876712328</v>
      </c>
    </row>
    <row r="265" spans="1:20" x14ac:dyDescent="0.3">
      <c r="A265" s="1" t="s">
        <v>647</v>
      </c>
      <c r="B265" s="1" t="s">
        <v>273</v>
      </c>
      <c r="C265" s="1" t="s">
        <v>16</v>
      </c>
      <c r="D265" s="2">
        <v>4180</v>
      </c>
      <c r="E265" s="1" t="s">
        <v>704</v>
      </c>
      <c r="F265" s="3">
        <v>32795</v>
      </c>
      <c r="G265" s="1" t="s">
        <v>1</v>
      </c>
      <c r="H265" s="1" t="s">
        <v>349</v>
      </c>
      <c r="I265" s="3">
        <v>43966</v>
      </c>
      <c r="J265" s="3">
        <v>44291</v>
      </c>
      <c r="K265" s="1" t="s">
        <v>357</v>
      </c>
      <c r="L265" s="1" t="s">
        <v>355</v>
      </c>
      <c r="M265" s="1" t="s">
        <v>700</v>
      </c>
      <c r="N265" s="1" t="s">
        <v>351</v>
      </c>
      <c r="O265" s="1" t="s">
        <v>364</v>
      </c>
      <c r="P265" s="1">
        <v>3.17</v>
      </c>
      <c r="Q265" s="1">
        <v>4</v>
      </c>
      <c r="R265" s="1">
        <v>0</v>
      </c>
      <c r="S265" s="3" t="s">
        <v>14</v>
      </c>
      <c r="T265" s="7">
        <f t="shared" si="4"/>
        <v>0.8904109589041096</v>
      </c>
    </row>
    <row r="266" spans="1:20" x14ac:dyDescent="0.3">
      <c r="A266" s="1" t="s">
        <v>648</v>
      </c>
      <c r="B266" s="1" t="s">
        <v>274</v>
      </c>
      <c r="C266" s="1" t="s">
        <v>16</v>
      </c>
      <c r="D266" s="2">
        <v>3520</v>
      </c>
      <c r="E266" s="1" t="s">
        <v>704</v>
      </c>
      <c r="F266" s="3">
        <v>27658</v>
      </c>
      <c r="G266" s="1" t="s">
        <v>1</v>
      </c>
      <c r="H266" s="1" t="s">
        <v>349</v>
      </c>
      <c r="I266" s="3">
        <v>43732</v>
      </c>
      <c r="J266" s="3">
        <v>43999</v>
      </c>
      <c r="K266" s="1" t="s">
        <v>11</v>
      </c>
      <c r="L266" s="1" t="s">
        <v>355</v>
      </c>
      <c r="M266" s="1" t="s">
        <v>700</v>
      </c>
      <c r="N266" s="1" t="s">
        <v>351</v>
      </c>
      <c r="O266" s="1" t="s">
        <v>364</v>
      </c>
      <c r="P266" s="1">
        <v>1.5</v>
      </c>
      <c r="Q266" s="1">
        <v>5</v>
      </c>
      <c r="R266" s="1">
        <v>0</v>
      </c>
      <c r="S266" s="3" t="s">
        <v>14</v>
      </c>
      <c r="T266" s="7">
        <f t="shared" si="4"/>
        <v>0.73150684931506849</v>
      </c>
    </row>
    <row r="267" spans="1:20" x14ac:dyDescent="0.3">
      <c r="A267" s="1" t="s">
        <v>617</v>
      </c>
      <c r="B267" s="1" t="s">
        <v>275</v>
      </c>
      <c r="C267" s="1" t="s">
        <v>16</v>
      </c>
      <c r="D267" s="2">
        <v>3960</v>
      </c>
      <c r="E267" s="1" t="s">
        <v>704</v>
      </c>
      <c r="F267" s="3">
        <v>33679</v>
      </c>
      <c r="G267" s="1" t="s">
        <v>17</v>
      </c>
      <c r="H267" s="1" t="s">
        <v>349</v>
      </c>
      <c r="I267" s="3">
        <v>44289</v>
      </c>
      <c r="J267" s="3">
        <v>44785</v>
      </c>
      <c r="K267" s="1" t="s">
        <v>357</v>
      </c>
      <c r="L267" s="1" t="s">
        <v>355</v>
      </c>
      <c r="M267" s="1" t="s">
        <v>700</v>
      </c>
      <c r="N267" s="1" t="s">
        <v>353</v>
      </c>
      <c r="O267" s="1" t="s">
        <v>364</v>
      </c>
      <c r="P267" s="1">
        <v>5</v>
      </c>
      <c r="Q267" s="1">
        <v>5</v>
      </c>
      <c r="R267" s="1">
        <v>0</v>
      </c>
      <c r="S267" s="3" t="s">
        <v>14</v>
      </c>
      <c r="T267" s="7">
        <f t="shared" si="4"/>
        <v>1.3589041095890411</v>
      </c>
    </row>
    <row r="268" spans="1:20" x14ac:dyDescent="0.3">
      <c r="A268" s="1" t="s">
        <v>649</v>
      </c>
      <c r="B268" s="1" t="s">
        <v>276</v>
      </c>
      <c r="C268" s="1" t="s">
        <v>13</v>
      </c>
      <c r="D268" s="2">
        <v>4180</v>
      </c>
      <c r="E268" s="1" t="s">
        <v>704</v>
      </c>
      <c r="F268" s="3">
        <v>33633</v>
      </c>
      <c r="G268" s="1" t="s">
        <v>591</v>
      </c>
      <c r="H268" s="1" t="s">
        <v>349</v>
      </c>
      <c r="I268" s="3">
        <v>43690</v>
      </c>
      <c r="J268" s="3">
        <v>45048</v>
      </c>
      <c r="K268" s="1" t="s">
        <v>11</v>
      </c>
      <c r="L268" s="1" t="s">
        <v>355</v>
      </c>
      <c r="M268" s="1" t="s">
        <v>700</v>
      </c>
      <c r="N268" s="1" t="s">
        <v>352</v>
      </c>
      <c r="O268" s="1" t="s">
        <v>366</v>
      </c>
      <c r="P268" s="1">
        <v>3.84</v>
      </c>
      <c r="Q268" s="1">
        <v>2.8</v>
      </c>
      <c r="R268" s="1">
        <v>0</v>
      </c>
      <c r="S268" s="3" t="s">
        <v>14</v>
      </c>
      <c r="T268" s="7">
        <f t="shared" si="4"/>
        <v>3.7205479452054795</v>
      </c>
    </row>
    <row r="269" spans="1:20" x14ac:dyDescent="0.3">
      <c r="A269" s="1" t="s">
        <v>650</v>
      </c>
      <c r="B269" s="1" t="s">
        <v>277</v>
      </c>
      <c r="C269" s="1" t="s">
        <v>16</v>
      </c>
      <c r="D269" s="2">
        <v>3960</v>
      </c>
      <c r="E269" s="1" t="s">
        <v>704</v>
      </c>
      <c r="F269" s="3">
        <v>30146</v>
      </c>
      <c r="G269" s="1" t="s">
        <v>17</v>
      </c>
      <c r="H269" s="1" t="s">
        <v>349</v>
      </c>
      <c r="I269" s="3">
        <v>43732</v>
      </c>
      <c r="J269" s="3">
        <v>43985</v>
      </c>
      <c r="K269" s="1" t="s">
        <v>359</v>
      </c>
      <c r="L269" s="1" t="s">
        <v>355</v>
      </c>
      <c r="M269" s="1" t="s">
        <v>700</v>
      </c>
      <c r="N269" s="1" t="s">
        <v>351</v>
      </c>
      <c r="O269" s="1" t="s">
        <v>364</v>
      </c>
      <c r="P269" s="1">
        <v>5</v>
      </c>
      <c r="Q269" s="1">
        <v>5</v>
      </c>
      <c r="R269" s="1">
        <v>0</v>
      </c>
      <c r="S269" s="3" t="s">
        <v>14</v>
      </c>
      <c r="T269" s="7">
        <f t="shared" si="4"/>
        <v>0.69315068493150689</v>
      </c>
    </row>
    <row r="270" spans="1:20" x14ac:dyDescent="0.3">
      <c r="A270" s="1" t="s">
        <v>651</v>
      </c>
      <c r="B270" s="1" t="s">
        <v>278</v>
      </c>
      <c r="C270" s="1" t="s">
        <v>27</v>
      </c>
      <c r="D270" s="2">
        <v>3740</v>
      </c>
      <c r="E270" s="1" t="s">
        <v>704</v>
      </c>
      <c r="F270" s="3">
        <v>32181</v>
      </c>
      <c r="G270" s="1" t="s">
        <v>17</v>
      </c>
      <c r="H270" s="1" t="s">
        <v>349</v>
      </c>
      <c r="I270" s="3">
        <v>43499</v>
      </c>
      <c r="J270" s="3">
        <v>44465</v>
      </c>
      <c r="K270" s="1" t="s">
        <v>358</v>
      </c>
      <c r="L270" s="1" t="s">
        <v>354</v>
      </c>
      <c r="M270" s="1" t="s">
        <v>700</v>
      </c>
      <c r="N270" s="1" t="s">
        <v>351</v>
      </c>
      <c r="O270" s="1" t="s">
        <v>365</v>
      </c>
      <c r="P270" s="1">
        <v>5</v>
      </c>
      <c r="Q270" s="1">
        <v>4</v>
      </c>
      <c r="R270" s="1">
        <v>0</v>
      </c>
      <c r="S270" s="3" t="s">
        <v>14</v>
      </c>
      <c r="T270" s="7">
        <f t="shared" si="4"/>
        <v>2.6465753424657534</v>
      </c>
    </row>
    <row r="271" spans="1:20" x14ac:dyDescent="0.3">
      <c r="A271" s="1" t="s">
        <v>621</v>
      </c>
      <c r="B271" s="1" t="s">
        <v>279</v>
      </c>
      <c r="C271" s="1" t="s">
        <v>13</v>
      </c>
      <c r="D271" s="2">
        <v>3740</v>
      </c>
      <c r="E271" s="1" t="s">
        <v>704</v>
      </c>
      <c r="F271" s="3">
        <v>23606</v>
      </c>
      <c r="G271" s="1" t="s">
        <v>591</v>
      </c>
      <c r="H271" s="1" t="s">
        <v>7</v>
      </c>
      <c r="I271" s="3">
        <v>43291</v>
      </c>
      <c r="J271" s="3">
        <v>45045</v>
      </c>
      <c r="K271" s="1" t="s">
        <v>11</v>
      </c>
      <c r="L271" s="1" t="s">
        <v>355</v>
      </c>
      <c r="M271" s="1" t="s">
        <v>700</v>
      </c>
      <c r="N271" s="1" t="s">
        <v>352</v>
      </c>
      <c r="O271" s="1" t="s">
        <v>366</v>
      </c>
      <c r="P271" s="1">
        <v>1.65</v>
      </c>
      <c r="Q271" s="1">
        <v>2.8</v>
      </c>
      <c r="R271" s="1">
        <v>0</v>
      </c>
      <c r="S271" s="3" t="s">
        <v>14</v>
      </c>
      <c r="T271" s="7">
        <f t="shared" si="4"/>
        <v>4.8054794520547945</v>
      </c>
    </row>
    <row r="272" spans="1:20" x14ac:dyDescent="0.3">
      <c r="A272" s="1" t="s">
        <v>652</v>
      </c>
      <c r="B272" s="1" t="s">
        <v>280</v>
      </c>
      <c r="C272" s="1" t="s">
        <v>16</v>
      </c>
      <c r="D272" s="2">
        <v>3355</v>
      </c>
      <c r="E272" s="1" t="s">
        <v>704</v>
      </c>
      <c r="F272" s="3">
        <v>31496</v>
      </c>
      <c r="G272" s="1" t="s">
        <v>1</v>
      </c>
      <c r="H272" s="1" t="s">
        <v>7</v>
      </c>
      <c r="I272" s="3">
        <v>44322</v>
      </c>
      <c r="J272" s="3">
        <v>44464</v>
      </c>
      <c r="K272" s="1" t="s">
        <v>11</v>
      </c>
      <c r="L272" s="1" t="s">
        <v>355</v>
      </c>
      <c r="M272" s="1" t="s">
        <v>700</v>
      </c>
      <c r="N272" s="1" t="s">
        <v>353</v>
      </c>
      <c r="O272" s="1" t="s">
        <v>364</v>
      </c>
      <c r="P272" s="1">
        <v>3.18</v>
      </c>
      <c r="Q272" s="1">
        <v>4</v>
      </c>
      <c r="R272" s="1">
        <v>0</v>
      </c>
      <c r="S272" s="3" t="s">
        <v>14</v>
      </c>
      <c r="T272" s="7">
        <f t="shared" si="4"/>
        <v>0.38904109589041097</v>
      </c>
    </row>
    <row r="273" spans="1:20" x14ac:dyDescent="0.3">
      <c r="A273" s="1" t="s">
        <v>653</v>
      </c>
      <c r="B273" s="1" t="s">
        <v>281</v>
      </c>
      <c r="C273" s="1" t="s">
        <v>16</v>
      </c>
      <c r="D273" s="2">
        <v>4620</v>
      </c>
      <c r="E273" s="1" t="s">
        <v>704</v>
      </c>
      <c r="F273" s="3">
        <v>32872</v>
      </c>
      <c r="G273" s="1" t="s">
        <v>17</v>
      </c>
      <c r="H273" s="1" t="s">
        <v>349</v>
      </c>
      <c r="I273" s="3">
        <v>44464</v>
      </c>
      <c r="J273" s="3">
        <v>44745</v>
      </c>
      <c r="K273" s="1" t="s">
        <v>11</v>
      </c>
      <c r="L273" s="1" t="s">
        <v>355</v>
      </c>
      <c r="M273" s="1" t="s">
        <v>700</v>
      </c>
      <c r="N273" s="1" t="s">
        <v>353</v>
      </c>
      <c r="O273" s="1" t="s">
        <v>364</v>
      </c>
      <c r="P273" s="1">
        <v>3.8</v>
      </c>
      <c r="Q273" s="1">
        <v>5</v>
      </c>
      <c r="R273" s="1">
        <v>0</v>
      </c>
      <c r="S273" s="3" t="s">
        <v>14</v>
      </c>
      <c r="T273" s="7">
        <f t="shared" si="4"/>
        <v>0.76986301369863008</v>
      </c>
    </row>
    <row r="274" spans="1:20" x14ac:dyDescent="0.3">
      <c r="A274" s="1" t="s">
        <v>654</v>
      </c>
      <c r="B274" s="1" t="s">
        <v>282</v>
      </c>
      <c r="C274" s="1" t="s">
        <v>16</v>
      </c>
      <c r="D274" s="2">
        <v>4620</v>
      </c>
      <c r="E274" s="1" t="s">
        <v>704</v>
      </c>
      <c r="F274" s="3">
        <v>29209</v>
      </c>
      <c r="G274" s="1" t="s">
        <v>17</v>
      </c>
      <c r="H274" s="1" t="s">
        <v>349</v>
      </c>
      <c r="I274" s="3">
        <v>43586</v>
      </c>
      <c r="J274" s="3">
        <v>44041</v>
      </c>
      <c r="K274" s="1" t="s">
        <v>357</v>
      </c>
      <c r="L274" s="1" t="s">
        <v>355</v>
      </c>
      <c r="M274" s="1" t="s">
        <v>700</v>
      </c>
      <c r="N274" s="1" t="s">
        <v>701</v>
      </c>
      <c r="O274" s="1" t="s">
        <v>364</v>
      </c>
      <c r="P274" s="1">
        <v>1.53</v>
      </c>
      <c r="Q274" s="1">
        <v>5</v>
      </c>
      <c r="R274" s="1">
        <v>0</v>
      </c>
      <c r="S274" s="3" t="s">
        <v>14</v>
      </c>
      <c r="T274" s="7">
        <f t="shared" si="4"/>
        <v>1.2465753424657535</v>
      </c>
    </row>
    <row r="275" spans="1:20" x14ac:dyDescent="0.3">
      <c r="A275" s="1" t="s">
        <v>655</v>
      </c>
      <c r="B275" s="1" t="s">
        <v>283</v>
      </c>
      <c r="C275" s="1" t="s">
        <v>16</v>
      </c>
      <c r="D275" s="2">
        <v>3520</v>
      </c>
      <c r="E275" s="1" t="s">
        <v>704</v>
      </c>
      <c r="F275" s="3">
        <v>34554</v>
      </c>
      <c r="G275" s="1" t="s">
        <v>1</v>
      </c>
      <c r="H275" s="1" t="s">
        <v>349</v>
      </c>
      <c r="I275" s="3">
        <v>44141</v>
      </c>
      <c r="J275" s="3">
        <v>44355</v>
      </c>
      <c r="K275" s="1" t="s">
        <v>357</v>
      </c>
      <c r="L275" s="1" t="s">
        <v>355</v>
      </c>
      <c r="M275" s="1" t="s">
        <v>700</v>
      </c>
      <c r="N275" s="1" t="s">
        <v>701</v>
      </c>
      <c r="O275" s="1" t="s">
        <v>364</v>
      </c>
      <c r="P275" s="1">
        <v>5</v>
      </c>
      <c r="Q275" s="1">
        <v>4</v>
      </c>
      <c r="R275" s="1">
        <v>0</v>
      </c>
      <c r="S275" s="3" t="s">
        <v>14</v>
      </c>
      <c r="T275" s="7">
        <f t="shared" si="4"/>
        <v>0.58630136986301373</v>
      </c>
    </row>
    <row r="276" spans="1:20" x14ac:dyDescent="0.3">
      <c r="A276" s="1" t="s">
        <v>656</v>
      </c>
      <c r="B276" s="1" t="s">
        <v>284</v>
      </c>
      <c r="C276" s="1" t="s">
        <v>16</v>
      </c>
      <c r="D276" s="2">
        <v>5170</v>
      </c>
      <c r="E276" s="1" t="s">
        <v>704</v>
      </c>
      <c r="F276" s="3">
        <v>30254</v>
      </c>
      <c r="G276" s="1" t="s">
        <v>17</v>
      </c>
      <c r="H276" s="1" t="s">
        <v>7</v>
      </c>
      <c r="I276" s="3">
        <v>43235</v>
      </c>
      <c r="J276" s="3">
        <v>44778</v>
      </c>
      <c r="K276" s="1" t="s">
        <v>11</v>
      </c>
      <c r="L276" s="1" t="s">
        <v>355</v>
      </c>
      <c r="M276" s="1" t="s">
        <v>700</v>
      </c>
      <c r="N276" s="1" t="s">
        <v>351</v>
      </c>
      <c r="O276" s="1" t="s">
        <v>364</v>
      </c>
      <c r="P276" s="1">
        <v>5</v>
      </c>
      <c r="Q276" s="1">
        <v>2.8</v>
      </c>
      <c r="R276" s="1">
        <v>0</v>
      </c>
      <c r="S276" s="3" t="s">
        <v>14</v>
      </c>
      <c r="T276" s="7">
        <f t="shared" si="4"/>
        <v>4.2273972602739729</v>
      </c>
    </row>
    <row r="277" spans="1:20" x14ac:dyDescent="0.3">
      <c r="A277" s="1" t="s">
        <v>657</v>
      </c>
      <c r="B277" s="1" t="s">
        <v>285</v>
      </c>
      <c r="C277" s="1" t="s">
        <v>16</v>
      </c>
      <c r="D277" s="2">
        <v>4400</v>
      </c>
      <c r="E277" s="1" t="s">
        <v>704</v>
      </c>
      <c r="F277" s="3">
        <v>22018</v>
      </c>
      <c r="G277" s="1" t="s">
        <v>1</v>
      </c>
      <c r="H277" s="1" t="s">
        <v>7</v>
      </c>
      <c r="I277" s="3">
        <v>43291</v>
      </c>
      <c r="J277" s="3">
        <v>44332</v>
      </c>
      <c r="K277" s="1" t="s">
        <v>11</v>
      </c>
      <c r="L277" s="1" t="s">
        <v>355</v>
      </c>
      <c r="M277" s="1" t="s">
        <v>700</v>
      </c>
      <c r="N277" s="1" t="s">
        <v>353</v>
      </c>
      <c r="O277" s="1" t="s">
        <v>364</v>
      </c>
      <c r="P277" s="1">
        <v>3.13</v>
      </c>
      <c r="Q277" s="1">
        <v>3</v>
      </c>
      <c r="R277" s="1">
        <v>0</v>
      </c>
      <c r="S277" s="3" t="s">
        <v>14</v>
      </c>
      <c r="T277" s="7">
        <f t="shared" si="4"/>
        <v>2.8520547945205479</v>
      </c>
    </row>
    <row r="278" spans="1:20" x14ac:dyDescent="0.3">
      <c r="A278" s="1" t="s">
        <v>658</v>
      </c>
      <c r="B278" s="1" t="s">
        <v>286</v>
      </c>
      <c r="C278" s="1" t="s">
        <v>27</v>
      </c>
      <c r="D278" s="2">
        <v>3300</v>
      </c>
      <c r="E278" s="1" t="s">
        <v>704</v>
      </c>
      <c r="F278" s="3">
        <v>29105</v>
      </c>
      <c r="G278" s="1" t="s">
        <v>17</v>
      </c>
      <c r="H278" s="1" t="s">
        <v>7</v>
      </c>
      <c r="I278" s="3">
        <v>43499</v>
      </c>
      <c r="J278" s="3">
        <v>44736</v>
      </c>
      <c r="K278" s="1" t="s">
        <v>11</v>
      </c>
      <c r="L278" s="1" t="s">
        <v>355</v>
      </c>
      <c r="M278" s="1" t="s">
        <v>700</v>
      </c>
      <c r="N278" s="1" t="s">
        <v>351</v>
      </c>
      <c r="O278" s="1" t="s">
        <v>365</v>
      </c>
      <c r="P278" s="1">
        <v>3.97</v>
      </c>
      <c r="Q278" s="1">
        <v>2.5</v>
      </c>
      <c r="R278" s="1">
        <v>0</v>
      </c>
      <c r="S278" s="3" t="s">
        <v>14</v>
      </c>
      <c r="T278" s="7">
        <f t="shared" si="4"/>
        <v>3.3890410958904109</v>
      </c>
    </row>
    <row r="279" spans="1:20" x14ac:dyDescent="0.3">
      <c r="A279" s="1" t="s">
        <v>659</v>
      </c>
      <c r="B279" s="1" t="s">
        <v>287</v>
      </c>
      <c r="C279" s="1" t="s">
        <v>16</v>
      </c>
      <c r="D279" s="2">
        <v>4345</v>
      </c>
      <c r="E279" s="1" t="s">
        <v>704</v>
      </c>
      <c r="F279" s="3">
        <v>21049</v>
      </c>
      <c r="G279" s="1" t="s">
        <v>1</v>
      </c>
      <c r="H279" s="1" t="s">
        <v>349</v>
      </c>
      <c r="I279" s="3">
        <v>43709</v>
      </c>
      <c r="J279" s="3">
        <v>44909</v>
      </c>
      <c r="K279" s="1" t="s">
        <v>11</v>
      </c>
      <c r="L279" s="1" t="s">
        <v>355</v>
      </c>
      <c r="M279" s="1" t="s">
        <v>700</v>
      </c>
      <c r="N279" s="1" t="s">
        <v>353</v>
      </c>
      <c r="O279" s="1" t="s">
        <v>364</v>
      </c>
      <c r="P279" s="1">
        <v>4.6399999999999997</v>
      </c>
      <c r="Q279" s="1">
        <v>1.5</v>
      </c>
      <c r="R279" s="1">
        <v>0</v>
      </c>
      <c r="S279" s="3" t="s">
        <v>14</v>
      </c>
      <c r="T279" s="7">
        <f t="shared" si="4"/>
        <v>3.2876712328767121</v>
      </c>
    </row>
    <row r="280" spans="1:20" x14ac:dyDescent="0.3">
      <c r="A280" s="1" t="s">
        <v>660</v>
      </c>
      <c r="B280" s="1" t="s">
        <v>288</v>
      </c>
      <c r="C280" s="1" t="s">
        <v>16</v>
      </c>
      <c r="D280" s="2">
        <v>4840</v>
      </c>
      <c r="E280" s="1" t="s">
        <v>704</v>
      </c>
      <c r="F280" s="3">
        <v>28713</v>
      </c>
      <c r="G280" s="1" t="s">
        <v>1</v>
      </c>
      <c r="H280" s="1" t="s">
        <v>7</v>
      </c>
      <c r="I280" s="3">
        <v>43368</v>
      </c>
      <c r="J280" s="3">
        <v>44656</v>
      </c>
      <c r="K280" s="1" t="s">
        <v>11</v>
      </c>
      <c r="L280" s="1" t="s">
        <v>355</v>
      </c>
      <c r="M280" s="1" t="s">
        <v>700</v>
      </c>
      <c r="N280" s="1" t="s">
        <v>353</v>
      </c>
      <c r="O280" s="1" t="s">
        <v>364</v>
      </c>
      <c r="P280" s="1">
        <v>3.6</v>
      </c>
      <c r="Q280" s="1">
        <v>2.4</v>
      </c>
      <c r="R280" s="1">
        <v>0</v>
      </c>
      <c r="S280" s="3" t="s">
        <v>14</v>
      </c>
      <c r="T280" s="7">
        <f t="shared" si="4"/>
        <v>3.5287671232876714</v>
      </c>
    </row>
    <row r="281" spans="1:20" x14ac:dyDescent="0.3">
      <c r="A281" s="1" t="s">
        <v>661</v>
      </c>
      <c r="B281" s="1" t="s">
        <v>289</v>
      </c>
      <c r="C281" s="1" t="s">
        <v>13</v>
      </c>
      <c r="D281" s="2">
        <v>4180</v>
      </c>
      <c r="E281" s="1" t="s">
        <v>704</v>
      </c>
      <c r="F281" s="3">
        <v>28534</v>
      </c>
      <c r="G281" s="1" t="s">
        <v>1</v>
      </c>
      <c r="H281" s="1" t="s">
        <v>349</v>
      </c>
      <c r="I281" s="3">
        <v>43291</v>
      </c>
      <c r="J281" s="3">
        <v>44878</v>
      </c>
      <c r="K281" s="1" t="s">
        <v>357</v>
      </c>
      <c r="L281" s="1" t="s">
        <v>355</v>
      </c>
      <c r="M281" s="1" t="s">
        <v>700</v>
      </c>
      <c r="N281" s="1" t="s">
        <v>352</v>
      </c>
      <c r="O281" s="1" t="s">
        <v>366</v>
      </c>
      <c r="P281" s="1">
        <v>5</v>
      </c>
      <c r="Q281" s="1">
        <v>4</v>
      </c>
      <c r="R281" s="1">
        <v>0</v>
      </c>
      <c r="S281" s="3" t="s">
        <v>14</v>
      </c>
      <c r="T281" s="7">
        <f t="shared" si="4"/>
        <v>4.3479452054794523</v>
      </c>
    </row>
    <row r="282" spans="1:20" x14ac:dyDescent="0.3">
      <c r="A282" s="1" t="s">
        <v>662</v>
      </c>
      <c r="B282" s="1" t="s">
        <v>290</v>
      </c>
      <c r="C282" s="1" t="s">
        <v>16</v>
      </c>
      <c r="D282" s="2">
        <v>3960</v>
      </c>
      <c r="E282" s="1" t="s">
        <v>704</v>
      </c>
      <c r="F282" s="3">
        <v>34369</v>
      </c>
      <c r="G282" s="1" t="s">
        <v>17</v>
      </c>
      <c r="H282" s="1" t="s">
        <v>349</v>
      </c>
      <c r="I282" s="3">
        <v>43368</v>
      </c>
      <c r="J282" s="3">
        <v>44289</v>
      </c>
      <c r="K282" s="1" t="s">
        <v>359</v>
      </c>
      <c r="L282" s="1" t="s">
        <v>355</v>
      </c>
      <c r="M282" s="1" t="s">
        <v>700</v>
      </c>
      <c r="N282" s="1" t="s">
        <v>352</v>
      </c>
      <c r="O282" s="1" t="s">
        <v>364</v>
      </c>
      <c r="P282" s="1">
        <v>2.61</v>
      </c>
      <c r="Q282" s="1">
        <v>3</v>
      </c>
      <c r="R282" s="1">
        <v>0</v>
      </c>
      <c r="S282" s="3" t="s">
        <v>14</v>
      </c>
      <c r="T282" s="7">
        <f t="shared" si="4"/>
        <v>2.5232876712328767</v>
      </c>
    </row>
    <row r="283" spans="1:20" x14ac:dyDescent="0.3">
      <c r="A283" s="1" t="s">
        <v>663</v>
      </c>
      <c r="B283" s="1" t="s">
        <v>291</v>
      </c>
      <c r="C283" s="1" t="s">
        <v>27</v>
      </c>
      <c r="D283" s="2">
        <v>5280</v>
      </c>
      <c r="E283" s="1" t="s">
        <v>704</v>
      </c>
      <c r="F283" s="3">
        <v>34044</v>
      </c>
      <c r="G283" s="1" t="s">
        <v>17</v>
      </c>
      <c r="H283" s="1" t="s">
        <v>349</v>
      </c>
      <c r="I283" s="3">
        <v>43373</v>
      </c>
      <c r="J283" s="3">
        <v>44892</v>
      </c>
      <c r="K283" s="1" t="s">
        <v>357</v>
      </c>
      <c r="L283" s="1" t="s">
        <v>355</v>
      </c>
      <c r="M283" s="1" t="s">
        <v>700</v>
      </c>
      <c r="N283" s="1" t="s">
        <v>351</v>
      </c>
      <c r="O283" s="1" t="s">
        <v>365</v>
      </c>
      <c r="P283" s="1">
        <v>3.54</v>
      </c>
      <c r="Q283" s="1">
        <v>5</v>
      </c>
      <c r="R283" s="1">
        <v>0</v>
      </c>
      <c r="S283" s="3" t="s">
        <v>14</v>
      </c>
      <c r="T283" s="7">
        <f t="shared" si="4"/>
        <v>4.161643835616438</v>
      </c>
    </row>
    <row r="284" spans="1:20" x14ac:dyDescent="0.3">
      <c r="A284" s="1" t="s">
        <v>664</v>
      </c>
      <c r="B284" s="1" t="s">
        <v>292</v>
      </c>
      <c r="C284" s="1" t="s">
        <v>16</v>
      </c>
      <c r="D284" s="2">
        <v>3300</v>
      </c>
      <c r="E284" s="1" t="s">
        <v>704</v>
      </c>
      <c r="F284" s="3">
        <v>29282</v>
      </c>
      <c r="G284" s="1" t="s">
        <v>1</v>
      </c>
      <c r="H284" s="1" t="s">
        <v>7</v>
      </c>
      <c r="I284" s="3">
        <v>42486</v>
      </c>
      <c r="J284" s="3">
        <v>43834</v>
      </c>
      <c r="K284" s="1" t="s">
        <v>359</v>
      </c>
      <c r="L284" s="1" t="s">
        <v>355</v>
      </c>
      <c r="M284" s="1" t="s">
        <v>700</v>
      </c>
      <c r="N284" s="1" t="s">
        <v>352</v>
      </c>
      <c r="O284" s="1" t="s">
        <v>364</v>
      </c>
      <c r="P284" s="1">
        <v>2.52</v>
      </c>
      <c r="Q284" s="1">
        <v>5</v>
      </c>
      <c r="R284" s="1">
        <v>0</v>
      </c>
      <c r="S284" s="3" t="s">
        <v>14</v>
      </c>
      <c r="T284" s="7">
        <f t="shared" si="4"/>
        <v>3.6931506849315068</v>
      </c>
    </row>
    <row r="285" spans="1:20" x14ac:dyDescent="0.3">
      <c r="A285" s="1" t="s">
        <v>665</v>
      </c>
      <c r="B285" s="1" t="s">
        <v>293</v>
      </c>
      <c r="C285" s="1" t="s">
        <v>16</v>
      </c>
      <c r="D285" s="2">
        <v>5060</v>
      </c>
      <c r="E285" s="1" t="s">
        <v>704</v>
      </c>
      <c r="F285" s="3">
        <v>33746</v>
      </c>
      <c r="G285" s="1" t="s">
        <v>17</v>
      </c>
      <c r="H285" s="1" t="s">
        <v>349</v>
      </c>
      <c r="I285" s="3">
        <v>43739</v>
      </c>
      <c r="J285" s="3">
        <v>44330</v>
      </c>
      <c r="K285" s="1" t="s">
        <v>362</v>
      </c>
      <c r="L285" s="1" t="s">
        <v>354</v>
      </c>
      <c r="M285" s="1" t="s">
        <v>700</v>
      </c>
      <c r="N285" s="1" t="s">
        <v>351</v>
      </c>
      <c r="O285" s="1" t="s">
        <v>365</v>
      </c>
      <c r="P285" s="1">
        <v>5</v>
      </c>
      <c r="Q285" s="1">
        <v>5</v>
      </c>
      <c r="R285" s="1">
        <v>0</v>
      </c>
      <c r="S285" s="3" t="s">
        <v>14</v>
      </c>
      <c r="T285" s="7">
        <f t="shared" si="4"/>
        <v>1.6191780821917807</v>
      </c>
    </row>
    <row r="286" spans="1:20" x14ac:dyDescent="0.3">
      <c r="A286" s="1" t="s">
        <v>666</v>
      </c>
      <c r="B286" s="1" t="s">
        <v>294</v>
      </c>
      <c r="C286" s="1" t="s">
        <v>16</v>
      </c>
      <c r="D286" s="2">
        <v>6380</v>
      </c>
      <c r="E286" s="1" t="s">
        <v>705</v>
      </c>
      <c r="F286" s="3">
        <v>31421</v>
      </c>
      <c r="G286" s="1" t="s">
        <v>17</v>
      </c>
      <c r="H286" s="1" t="s">
        <v>349</v>
      </c>
      <c r="I286" s="3">
        <v>43235</v>
      </c>
      <c r="J286" s="3">
        <v>44005</v>
      </c>
      <c r="K286" s="1" t="s">
        <v>362</v>
      </c>
      <c r="L286" s="1" t="s">
        <v>354</v>
      </c>
      <c r="M286" s="1" t="s">
        <v>700</v>
      </c>
      <c r="N286" s="1" t="s">
        <v>351</v>
      </c>
      <c r="O286" s="1" t="s">
        <v>365</v>
      </c>
      <c r="P286" s="1">
        <v>4.76</v>
      </c>
      <c r="Q286" s="1">
        <v>5</v>
      </c>
      <c r="R286" s="1">
        <v>0</v>
      </c>
      <c r="S286" s="3" t="s">
        <v>14</v>
      </c>
      <c r="T286" s="7">
        <f t="shared" si="4"/>
        <v>2.1095890410958904</v>
      </c>
    </row>
    <row r="287" spans="1:20" x14ac:dyDescent="0.3">
      <c r="A287" s="1" t="s">
        <v>667</v>
      </c>
      <c r="B287" s="1" t="s">
        <v>295</v>
      </c>
      <c r="C287" s="1" t="s">
        <v>16</v>
      </c>
      <c r="D287" s="2">
        <v>5060</v>
      </c>
      <c r="E287" s="1" t="s">
        <v>705</v>
      </c>
      <c r="F287" s="3">
        <v>29850</v>
      </c>
      <c r="G287" s="1" t="s">
        <v>1</v>
      </c>
      <c r="H287" s="1" t="s">
        <v>349</v>
      </c>
      <c r="I287" s="3">
        <v>43151</v>
      </c>
      <c r="J287" s="3">
        <v>43834</v>
      </c>
      <c r="K287" s="1" t="s">
        <v>11</v>
      </c>
      <c r="L287" s="1" t="s">
        <v>355</v>
      </c>
      <c r="M287" s="1" t="s">
        <v>700</v>
      </c>
      <c r="N287" s="1" t="s">
        <v>353</v>
      </c>
      <c r="O287" s="1" t="s">
        <v>364</v>
      </c>
      <c r="P287" s="1">
        <v>3.72</v>
      </c>
      <c r="Q287" s="1">
        <v>2.8</v>
      </c>
      <c r="R287" s="1">
        <v>0</v>
      </c>
      <c r="S287" s="3" t="s">
        <v>14</v>
      </c>
      <c r="T287" s="7">
        <f t="shared" si="4"/>
        <v>1.8712328767123287</v>
      </c>
    </row>
    <row r="288" spans="1:20" x14ac:dyDescent="0.3">
      <c r="A288" s="1" t="s">
        <v>668</v>
      </c>
      <c r="B288" s="1" t="s">
        <v>296</v>
      </c>
      <c r="C288" s="1" t="s">
        <v>16</v>
      </c>
      <c r="D288" s="2">
        <v>5060</v>
      </c>
      <c r="E288" s="1" t="s">
        <v>705</v>
      </c>
      <c r="F288" s="3">
        <v>33522</v>
      </c>
      <c r="G288" s="1" t="s">
        <v>1</v>
      </c>
      <c r="H288" s="1" t="s">
        <v>7</v>
      </c>
      <c r="I288" s="3">
        <v>44322</v>
      </c>
      <c r="J288" s="3">
        <v>44426</v>
      </c>
      <c r="K288" s="1" t="s">
        <v>357</v>
      </c>
      <c r="L288" s="1" t="s">
        <v>355</v>
      </c>
      <c r="M288" s="1" t="s">
        <v>700</v>
      </c>
      <c r="N288" s="1" t="s">
        <v>353</v>
      </c>
      <c r="O288" s="1" t="s">
        <v>364</v>
      </c>
      <c r="P288" s="1">
        <v>5</v>
      </c>
      <c r="Q288" s="1">
        <v>4</v>
      </c>
      <c r="R288" s="1">
        <v>0</v>
      </c>
      <c r="S288" s="3" t="s">
        <v>14</v>
      </c>
      <c r="T288" s="7">
        <f t="shared" si="4"/>
        <v>0.28493150684931506</v>
      </c>
    </row>
    <row r="289" spans="1:20" x14ac:dyDescent="0.3">
      <c r="A289" s="1" t="s">
        <v>669</v>
      </c>
      <c r="B289" s="1" t="s">
        <v>297</v>
      </c>
      <c r="C289" s="1" t="s">
        <v>27</v>
      </c>
      <c r="D289" s="2">
        <v>6160</v>
      </c>
      <c r="E289" s="1" t="s">
        <v>705</v>
      </c>
      <c r="F289" s="3">
        <v>34532</v>
      </c>
      <c r="G289" s="1" t="s">
        <v>591</v>
      </c>
      <c r="H289" s="1" t="s">
        <v>7</v>
      </c>
      <c r="I289" s="3">
        <v>44322</v>
      </c>
      <c r="J289" s="3">
        <v>44453</v>
      </c>
      <c r="K289" s="1" t="s">
        <v>11</v>
      </c>
      <c r="L289" s="1" t="s">
        <v>355</v>
      </c>
      <c r="M289" s="1" t="s">
        <v>700</v>
      </c>
      <c r="N289" s="1" t="s">
        <v>351</v>
      </c>
      <c r="O289" s="1" t="s">
        <v>365</v>
      </c>
      <c r="P289" s="1">
        <v>1.03</v>
      </c>
      <c r="Q289" s="1">
        <v>2.8</v>
      </c>
      <c r="R289" s="1">
        <v>0</v>
      </c>
      <c r="S289" s="3" t="s">
        <v>14</v>
      </c>
      <c r="T289" s="7">
        <f t="shared" si="4"/>
        <v>0.35890410958904112</v>
      </c>
    </row>
    <row r="290" spans="1:20" x14ac:dyDescent="0.3">
      <c r="A290" s="1" t="s">
        <v>670</v>
      </c>
      <c r="B290" s="1" t="s">
        <v>298</v>
      </c>
      <c r="C290" s="1" t="s">
        <v>16</v>
      </c>
      <c r="D290" s="2">
        <v>4840</v>
      </c>
      <c r="E290" s="1" t="s">
        <v>705</v>
      </c>
      <c r="F290" s="3">
        <v>32946</v>
      </c>
      <c r="G290" s="1" t="s">
        <v>1</v>
      </c>
      <c r="H290" s="1" t="s">
        <v>349</v>
      </c>
      <c r="I290" s="3">
        <v>43373</v>
      </c>
      <c r="J290" s="3">
        <v>44598</v>
      </c>
      <c r="K290" s="1" t="s">
        <v>11</v>
      </c>
      <c r="L290" s="1" t="s">
        <v>355</v>
      </c>
      <c r="M290" s="1" t="s">
        <v>700</v>
      </c>
      <c r="N290" s="1" t="s">
        <v>701</v>
      </c>
      <c r="O290" s="1" t="s">
        <v>364</v>
      </c>
      <c r="P290" s="1">
        <v>1.3</v>
      </c>
      <c r="Q290" s="1">
        <v>3.4</v>
      </c>
      <c r="R290" s="1">
        <v>0</v>
      </c>
      <c r="S290" s="3" t="s">
        <v>14</v>
      </c>
      <c r="T290" s="7">
        <f t="shared" si="4"/>
        <v>3.3561643835616439</v>
      </c>
    </row>
    <row r="291" spans="1:20" x14ac:dyDescent="0.3">
      <c r="A291" s="1" t="s">
        <v>671</v>
      </c>
      <c r="B291" s="1" t="s">
        <v>299</v>
      </c>
      <c r="C291" s="1" t="s">
        <v>16</v>
      </c>
      <c r="D291" s="2">
        <v>5500</v>
      </c>
      <c r="E291" s="1" t="s">
        <v>705</v>
      </c>
      <c r="F291" s="3">
        <v>31654</v>
      </c>
      <c r="G291" s="1" t="s">
        <v>1</v>
      </c>
      <c r="H291" s="1" t="s">
        <v>7</v>
      </c>
      <c r="I291" s="3">
        <v>43235</v>
      </c>
      <c r="J291" s="3">
        <v>44012</v>
      </c>
      <c r="K291" s="1" t="s">
        <v>11</v>
      </c>
      <c r="L291" s="1" t="s">
        <v>355</v>
      </c>
      <c r="M291" s="1" t="s">
        <v>700</v>
      </c>
      <c r="N291" s="1" t="s">
        <v>701</v>
      </c>
      <c r="O291" s="1" t="s">
        <v>364</v>
      </c>
      <c r="P291" s="1">
        <v>1.1599999999999999</v>
      </c>
      <c r="Q291" s="1">
        <v>3.1</v>
      </c>
      <c r="R291" s="1">
        <v>0</v>
      </c>
      <c r="S291" s="3" t="s">
        <v>14</v>
      </c>
      <c r="T291" s="7">
        <f t="shared" si="4"/>
        <v>2.128767123287671</v>
      </c>
    </row>
    <row r="292" spans="1:20" x14ac:dyDescent="0.3">
      <c r="A292" s="1" t="s">
        <v>672</v>
      </c>
      <c r="B292" s="1" t="s">
        <v>300</v>
      </c>
      <c r="C292" s="1" t="s">
        <v>19</v>
      </c>
      <c r="D292" s="2">
        <v>6380</v>
      </c>
      <c r="E292" s="1" t="s">
        <v>705</v>
      </c>
      <c r="F292" s="3">
        <v>25546</v>
      </c>
      <c r="G292" s="1" t="s">
        <v>17</v>
      </c>
      <c r="H292" s="1" t="s">
        <v>7</v>
      </c>
      <c r="I292" s="3">
        <v>43946</v>
      </c>
      <c r="J292" s="3">
        <v>44345</v>
      </c>
      <c r="K292" s="1" t="s">
        <v>357</v>
      </c>
      <c r="L292" s="1" t="s">
        <v>355</v>
      </c>
      <c r="M292" s="1" t="s">
        <v>700</v>
      </c>
      <c r="N292" s="1" t="s">
        <v>351</v>
      </c>
      <c r="O292" s="1" t="s">
        <v>365</v>
      </c>
      <c r="P292" s="1">
        <v>4.3499999999999996</v>
      </c>
      <c r="Q292" s="1">
        <v>3</v>
      </c>
      <c r="R292" s="1">
        <v>0</v>
      </c>
      <c r="S292" s="3" t="s">
        <v>14</v>
      </c>
      <c r="T292" s="7">
        <f t="shared" si="4"/>
        <v>1.0931506849315069</v>
      </c>
    </row>
    <row r="293" spans="1:20" x14ac:dyDescent="0.3">
      <c r="A293" s="1" t="s">
        <v>673</v>
      </c>
      <c r="B293" s="1" t="s">
        <v>301</v>
      </c>
      <c r="C293" s="1" t="s">
        <v>19</v>
      </c>
      <c r="D293" s="2">
        <v>5500</v>
      </c>
      <c r="E293" s="1" t="s">
        <v>705</v>
      </c>
      <c r="F293" s="3">
        <v>33052</v>
      </c>
      <c r="G293" s="1" t="s">
        <v>17</v>
      </c>
      <c r="H293" s="1" t="s">
        <v>349</v>
      </c>
      <c r="I293" s="3">
        <v>43326</v>
      </c>
      <c r="J293" s="3">
        <v>44294</v>
      </c>
      <c r="K293" s="1" t="s">
        <v>11</v>
      </c>
      <c r="L293" s="1" t="s">
        <v>355</v>
      </c>
      <c r="M293" s="1" t="s">
        <v>700</v>
      </c>
      <c r="N293" s="1" t="s">
        <v>351</v>
      </c>
      <c r="O293" s="1" t="s">
        <v>365</v>
      </c>
      <c r="P293" s="1">
        <v>2.5</v>
      </c>
      <c r="Q293" s="1">
        <v>3.6</v>
      </c>
      <c r="R293" s="1">
        <v>0</v>
      </c>
      <c r="S293" s="3" t="s">
        <v>14</v>
      </c>
      <c r="T293" s="7">
        <f t="shared" si="4"/>
        <v>2.6520547945205482</v>
      </c>
    </row>
    <row r="294" spans="1:20" x14ac:dyDescent="0.3">
      <c r="A294" s="1" t="s">
        <v>674</v>
      </c>
      <c r="B294" s="1" t="s">
        <v>302</v>
      </c>
      <c r="C294" s="1" t="s">
        <v>13</v>
      </c>
      <c r="D294" s="2">
        <v>6380</v>
      </c>
      <c r="E294" s="1" t="s">
        <v>705</v>
      </c>
      <c r="F294" s="3">
        <v>23202</v>
      </c>
      <c r="G294" s="1" t="s">
        <v>17</v>
      </c>
      <c r="H294" s="1" t="s">
        <v>349</v>
      </c>
      <c r="I294" s="3">
        <v>44012</v>
      </c>
      <c r="J294" s="3">
        <v>44977</v>
      </c>
      <c r="K294" s="1" t="s">
        <v>11</v>
      </c>
      <c r="L294" s="1" t="s">
        <v>355</v>
      </c>
      <c r="M294" s="1" t="s">
        <v>700</v>
      </c>
      <c r="N294" s="1" t="s">
        <v>352</v>
      </c>
      <c r="O294" s="1" t="s">
        <v>366</v>
      </c>
      <c r="P294" s="1">
        <v>1.67</v>
      </c>
      <c r="Q294" s="1">
        <v>3</v>
      </c>
      <c r="R294" s="1">
        <v>0</v>
      </c>
      <c r="S294" s="3" t="s">
        <v>14</v>
      </c>
      <c r="T294" s="7">
        <f t="shared" si="4"/>
        <v>2.6438356164383561</v>
      </c>
    </row>
    <row r="295" spans="1:20" x14ac:dyDescent="0.3">
      <c r="A295" s="1" t="s">
        <v>675</v>
      </c>
      <c r="B295" s="1" t="s">
        <v>303</v>
      </c>
      <c r="C295" s="1" t="s">
        <v>16</v>
      </c>
      <c r="D295" s="2">
        <v>5720</v>
      </c>
      <c r="E295" s="1" t="s">
        <v>705</v>
      </c>
      <c r="F295" s="3">
        <v>30644</v>
      </c>
      <c r="G295" s="1" t="s">
        <v>17</v>
      </c>
      <c r="H295" s="1" t="s">
        <v>7</v>
      </c>
      <c r="I295" s="3">
        <v>44072</v>
      </c>
      <c r="J295" s="3">
        <v>44464</v>
      </c>
      <c r="K295" s="1" t="s">
        <v>357</v>
      </c>
      <c r="L295" s="1" t="s">
        <v>355</v>
      </c>
      <c r="M295" s="1" t="s">
        <v>700</v>
      </c>
      <c r="N295" s="1" t="s">
        <v>352</v>
      </c>
      <c r="O295" s="1" t="s">
        <v>364</v>
      </c>
      <c r="P295" s="1">
        <v>1.3</v>
      </c>
      <c r="Q295" s="1">
        <v>4</v>
      </c>
      <c r="R295" s="1">
        <v>0</v>
      </c>
      <c r="S295" s="3" t="s">
        <v>14</v>
      </c>
      <c r="T295" s="7">
        <f t="shared" si="4"/>
        <v>1.0739726027397261</v>
      </c>
    </row>
    <row r="296" spans="1:20" x14ac:dyDescent="0.3">
      <c r="A296" s="1" t="s">
        <v>676</v>
      </c>
      <c r="B296" s="1" t="s">
        <v>304</v>
      </c>
      <c r="C296" s="1" t="s">
        <v>16</v>
      </c>
      <c r="D296" s="2">
        <v>4840</v>
      </c>
      <c r="E296" s="1" t="s">
        <v>705</v>
      </c>
      <c r="F296" s="3">
        <v>30886</v>
      </c>
      <c r="G296" s="1" t="s">
        <v>1</v>
      </c>
      <c r="H296" s="1" t="s">
        <v>349</v>
      </c>
      <c r="I296" s="3">
        <v>44012</v>
      </c>
      <c r="J296" s="3">
        <v>44285</v>
      </c>
      <c r="K296" s="1" t="s">
        <v>357</v>
      </c>
      <c r="L296" s="1" t="s">
        <v>355</v>
      </c>
      <c r="M296" s="1" t="s">
        <v>700</v>
      </c>
      <c r="N296" s="1" t="s">
        <v>353</v>
      </c>
      <c r="O296" s="1" t="s">
        <v>364</v>
      </c>
      <c r="P296" s="1">
        <v>4.5199999999999996</v>
      </c>
      <c r="Q296" s="1">
        <v>3</v>
      </c>
      <c r="R296" s="1">
        <v>0</v>
      </c>
      <c r="S296" s="3" t="s">
        <v>14</v>
      </c>
      <c r="T296" s="7">
        <f t="shared" si="4"/>
        <v>0.74794520547945209</v>
      </c>
    </row>
    <row r="297" spans="1:20" x14ac:dyDescent="0.3">
      <c r="A297" s="1" t="s">
        <v>677</v>
      </c>
      <c r="B297" s="1" t="s">
        <v>305</v>
      </c>
      <c r="C297" s="1" t="s">
        <v>16</v>
      </c>
      <c r="D297" s="2">
        <v>5720</v>
      </c>
      <c r="E297" s="1" t="s">
        <v>705</v>
      </c>
      <c r="F297" s="3">
        <v>31540</v>
      </c>
      <c r="G297" s="1" t="s">
        <v>1</v>
      </c>
      <c r="H297" s="1" t="s">
        <v>349</v>
      </c>
      <c r="I297" s="3">
        <v>44221</v>
      </c>
      <c r="J297" s="3">
        <v>44490</v>
      </c>
      <c r="K297" s="1" t="s">
        <v>357</v>
      </c>
      <c r="L297" s="1" t="s">
        <v>355</v>
      </c>
      <c r="M297" s="1" t="s">
        <v>700</v>
      </c>
      <c r="N297" s="1" t="s">
        <v>353</v>
      </c>
      <c r="O297" s="1" t="s">
        <v>364</v>
      </c>
      <c r="P297" s="1">
        <v>2.19</v>
      </c>
      <c r="Q297" s="1">
        <v>4</v>
      </c>
      <c r="R297" s="1">
        <v>0</v>
      </c>
      <c r="S297" s="3" t="s">
        <v>14</v>
      </c>
      <c r="T297" s="7">
        <f t="shared" si="4"/>
        <v>0.73698630136986298</v>
      </c>
    </row>
    <row r="298" spans="1:20" x14ac:dyDescent="0.3">
      <c r="A298" s="1" t="s">
        <v>678</v>
      </c>
      <c r="B298" s="1" t="s">
        <v>306</v>
      </c>
      <c r="C298" s="1" t="s">
        <v>16</v>
      </c>
      <c r="D298" s="2">
        <v>5720</v>
      </c>
      <c r="E298" s="1" t="s">
        <v>705</v>
      </c>
      <c r="F298" s="3">
        <v>26313</v>
      </c>
      <c r="G298" s="1" t="s">
        <v>1</v>
      </c>
      <c r="H298" s="1" t="s">
        <v>349</v>
      </c>
      <c r="I298" s="3">
        <v>43373</v>
      </c>
      <c r="J298" s="3">
        <v>44289</v>
      </c>
      <c r="K298" s="1" t="s">
        <v>357</v>
      </c>
      <c r="L298" s="1" t="s">
        <v>355</v>
      </c>
      <c r="M298" s="1" t="s">
        <v>700</v>
      </c>
      <c r="N298" s="1" t="s">
        <v>353</v>
      </c>
      <c r="O298" s="1" t="s">
        <v>364</v>
      </c>
      <c r="P298" s="1">
        <v>1.38</v>
      </c>
      <c r="Q298" s="1">
        <v>5</v>
      </c>
      <c r="R298" s="1">
        <v>0</v>
      </c>
      <c r="S298" s="3" t="s">
        <v>14</v>
      </c>
      <c r="T298" s="7">
        <f t="shared" si="4"/>
        <v>2.5095890410958903</v>
      </c>
    </row>
    <row r="299" spans="1:20" x14ac:dyDescent="0.3">
      <c r="A299" s="1" t="s">
        <v>679</v>
      </c>
      <c r="B299" s="1" t="s">
        <v>307</v>
      </c>
      <c r="C299" s="1" t="s">
        <v>16</v>
      </c>
      <c r="D299" s="2">
        <v>6325</v>
      </c>
      <c r="E299" s="1" t="s">
        <v>705</v>
      </c>
      <c r="F299" s="3">
        <v>21328</v>
      </c>
      <c r="G299" s="1" t="s">
        <v>1</v>
      </c>
      <c r="H299" s="1" t="s">
        <v>7</v>
      </c>
      <c r="I299" s="3">
        <v>43235</v>
      </c>
      <c r="J299" s="3">
        <v>44779</v>
      </c>
      <c r="K299" s="1" t="s">
        <v>357</v>
      </c>
      <c r="L299" s="1" t="s">
        <v>355</v>
      </c>
      <c r="M299" s="1" t="s">
        <v>700</v>
      </c>
      <c r="N299" s="1" t="s">
        <v>353</v>
      </c>
      <c r="O299" s="1" t="s">
        <v>364</v>
      </c>
      <c r="P299" s="1">
        <v>3.93</v>
      </c>
      <c r="Q299" s="1">
        <v>3</v>
      </c>
      <c r="R299" s="1">
        <v>0</v>
      </c>
      <c r="S299" s="3" t="s">
        <v>14</v>
      </c>
      <c r="T299" s="7">
        <f t="shared" si="4"/>
        <v>4.2301369863013702</v>
      </c>
    </row>
    <row r="300" spans="1:20" x14ac:dyDescent="0.3">
      <c r="A300" s="1" t="s">
        <v>680</v>
      </c>
      <c r="B300" s="1" t="s">
        <v>308</v>
      </c>
      <c r="C300" s="1" t="s">
        <v>16</v>
      </c>
      <c r="D300" s="2">
        <v>6380</v>
      </c>
      <c r="E300" s="1" t="s">
        <v>705</v>
      </c>
      <c r="F300" s="3">
        <v>20509</v>
      </c>
      <c r="G300" s="1" t="s">
        <v>591</v>
      </c>
      <c r="H300" s="1" t="s">
        <v>349</v>
      </c>
      <c r="I300" s="3">
        <v>43193</v>
      </c>
      <c r="J300" s="3">
        <v>44661</v>
      </c>
      <c r="K300" s="1" t="s">
        <v>11</v>
      </c>
      <c r="L300" s="1" t="s">
        <v>355</v>
      </c>
      <c r="M300" s="1" t="s">
        <v>700</v>
      </c>
      <c r="N300" s="1" t="s">
        <v>353</v>
      </c>
      <c r="O300" s="1" t="s">
        <v>364</v>
      </c>
      <c r="P300" s="1">
        <v>4.62</v>
      </c>
      <c r="Q300" s="1">
        <v>3</v>
      </c>
      <c r="R300" s="1">
        <v>0</v>
      </c>
      <c r="S300" s="3" t="s">
        <v>14</v>
      </c>
      <c r="T300" s="7">
        <f t="shared" si="4"/>
        <v>4.021917808219178</v>
      </c>
    </row>
    <row r="301" spans="1:20" x14ac:dyDescent="0.3">
      <c r="A301" s="1" t="s">
        <v>681</v>
      </c>
      <c r="B301" s="1" t="s">
        <v>309</v>
      </c>
      <c r="C301" s="1" t="s">
        <v>16</v>
      </c>
      <c r="D301" s="2">
        <v>5280</v>
      </c>
      <c r="E301" s="1" t="s">
        <v>705</v>
      </c>
      <c r="F301" s="3">
        <v>28363</v>
      </c>
      <c r="G301" s="1" t="s">
        <v>1</v>
      </c>
      <c r="H301" s="1" t="s">
        <v>349</v>
      </c>
      <c r="I301" s="3">
        <v>43373</v>
      </c>
      <c r="J301" s="3">
        <v>43879</v>
      </c>
      <c r="K301" s="1" t="s">
        <v>362</v>
      </c>
      <c r="L301" s="1" t="s">
        <v>354</v>
      </c>
      <c r="M301" s="1" t="s">
        <v>700</v>
      </c>
      <c r="N301" s="1" t="s">
        <v>351</v>
      </c>
      <c r="O301" s="1" t="s">
        <v>365</v>
      </c>
      <c r="P301" s="1">
        <v>5</v>
      </c>
      <c r="Q301" s="1">
        <v>3</v>
      </c>
      <c r="R301" s="1">
        <v>0</v>
      </c>
      <c r="S301" s="3" t="s">
        <v>14</v>
      </c>
      <c r="T301" s="7">
        <f t="shared" si="4"/>
        <v>1.3863013698630138</v>
      </c>
    </row>
    <row r="302" spans="1:20" x14ac:dyDescent="0.3">
      <c r="A302" s="1" t="s">
        <v>682</v>
      </c>
      <c r="B302" s="1" t="s">
        <v>310</v>
      </c>
      <c r="C302" s="1" t="s">
        <v>16</v>
      </c>
      <c r="D302" s="2">
        <v>5280</v>
      </c>
      <c r="E302" s="1" t="s">
        <v>705</v>
      </c>
      <c r="F302" s="3">
        <v>32364</v>
      </c>
      <c r="G302" s="1" t="s">
        <v>1</v>
      </c>
      <c r="H302" s="1" t="s">
        <v>7</v>
      </c>
      <c r="I302" s="3">
        <v>44289</v>
      </c>
      <c r="J302" s="3">
        <v>44804</v>
      </c>
      <c r="K302" s="1" t="s">
        <v>357</v>
      </c>
      <c r="L302" s="1" t="s">
        <v>355</v>
      </c>
      <c r="M302" s="1" t="s">
        <v>700</v>
      </c>
      <c r="N302" s="1" t="s">
        <v>701</v>
      </c>
      <c r="O302" s="1" t="s">
        <v>364</v>
      </c>
      <c r="P302" s="1">
        <v>3.66</v>
      </c>
      <c r="Q302" s="1">
        <v>3</v>
      </c>
      <c r="R302" s="1">
        <v>0</v>
      </c>
      <c r="S302" s="3" t="s">
        <v>14</v>
      </c>
      <c r="T302" s="7">
        <f t="shared" si="4"/>
        <v>1.4109589041095891</v>
      </c>
    </row>
    <row r="303" spans="1:20" x14ac:dyDescent="0.3">
      <c r="A303" s="1" t="s">
        <v>683</v>
      </c>
      <c r="B303" s="1" t="s">
        <v>311</v>
      </c>
      <c r="C303" s="1" t="s">
        <v>13</v>
      </c>
      <c r="D303" s="2">
        <v>6380</v>
      </c>
      <c r="E303" s="1" t="s">
        <v>705</v>
      </c>
      <c r="F303" s="3">
        <v>33466</v>
      </c>
      <c r="G303" s="1" t="s">
        <v>1</v>
      </c>
      <c r="H303" s="1" t="s">
        <v>7</v>
      </c>
      <c r="I303" s="3">
        <v>43601</v>
      </c>
      <c r="J303" s="3">
        <v>44652</v>
      </c>
      <c r="K303" s="1" t="s">
        <v>11</v>
      </c>
      <c r="L303" s="1" t="s">
        <v>355</v>
      </c>
      <c r="M303" s="1" t="s">
        <v>700</v>
      </c>
      <c r="N303" s="1" t="s">
        <v>352</v>
      </c>
      <c r="O303" s="1" t="s">
        <v>366</v>
      </c>
      <c r="P303" s="1">
        <v>1.79</v>
      </c>
      <c r="Q303" s="1">
        <v>3.7</v>
      </c>
      <c r="R303" s="1">
        <v>0</v>
      </c>
      <c r="S303" s="3" t="s">
        <v>14</v>
      </c>
      <c r="T303" s="7">
        <f t="shared" si="4"/>
        <v>2.8794520547945206</v>
      </c>
    </row>
    <row r="304" spans="1:20" x14ac:dyDescent="0.3">
      <c r="A304" s="1" t="s">
        <v>684</v>
      </c>
      <c r="B304" s="1" t="s">
        <v>312</v>
      </c>
      <c r="C304" s="1" t="s">
        <v>16</v>
      </c>
      <c r="D304" s="2">
        <v>6380</v>
      </c>
      <c r="E304" s="1" t="s">
        <v>705</v>
      </c>
      <c r="F304" s="3">
        <v>34230</v>
      </c>
      <c r="G304" s="1" t="s">
        <v>1</v>
      </c>
      <c r="H304" s="1" t="s">
        <v>7</v>
      </c>
      <c r="I304" s="3">
        <v>44322</v>
      </c>
      <c r="J304" s="3">
        <v>44827</v>
      </c>
      <c r="K304" s="1" t="s">
        <v>362</v>
      </c>
      <c r="L304" s="1" t="s">
        <v>354</v>
      </c>
      <c r="M304" s="1" t="s">
        <v>700</v>
      </c>
      <c r="N304" s="1" t="s">
        <v>351</v>
      </c>
      <c r="O304" s="1" t="s">
        <v>365</v>
      </c>
      <c r="P304" s="1">
        <v>3.02</v>
      </c>
      <c r="Q304" s="1">
        <v>3</v>
      </c>
      <c r="R304" s="1">
        <v>0</v>
      </c>
      <c r="S304" s="3" t="s">
        <v>14</v>
      </c>
      <c r="T304" s="7">
        <f t="shared" si="4"/>
        <v>1.3835616438356164</v>
      </c>
    </row>
    <row r="305" spans="1:20" x14ac:dyDescent="0.3">
      <c r="A305" t="s">
        <v>685</v>
      </c>
      <c r="B305" s="1" t="s">
        <v>313</v>
      </c>
      <c r="C305" s="1" t="s">
        <v>16</v>
      </c>
      <c r="D305" s="2">
        <v>6160</v>
      </c>
      <c r="E305" s="1" t="s">
        <v>705</v>
      </c>
      <c r="F305" s="3">
        <v>32755</v>
      </c>
      <c r="G305" s="1" t="s">
        <v>17</v>
      </c>
      <c r="H305" s="1" t="s">
        <v>7</v>
      </c>
      <c r="I305" s="3">
        <v>43499</v>
      </c>
      <c r="J305" s="3">
        <v>43935</v>
      </c>
      <c r="K305" s="1" t="s">
        <v>11</v>
      </c>
      <c r="L305" s="1" t="s">
        <v>355</v>
      </c>
      <c r="M305" s="1" t="s">
        <v>700</v>
      </c>
      <c r="N305" s="1" t="s">
        <v>701</v>
      </c>
      <c r="O305" s="1" t="s">
        <v>364</v>
      </c>
      <c r="P305" s="1">
        <v>1.84</v>
      </c>
      <c r="Q305" s="1">
        <v>3.4</v>
      </c>
      <c r="R305" s="1">
        <v>0</v>
      </c>
      <c r="S305" s="3" t="s">
        <v>14</v>
      </c>
      <c r="T305" s="7">
        <f t="shared" si="4"/>
        <v>1.1945205479452055</v>
      </c>
    </row>
    <row r="306" spans="1:20" x14ac:dyDescent="0.3">
      <c r="A306" s="1" t="s">
        <v>686</v>
      </c>
      <c r="B306" s="1" t="s">
        <v>314</v>
      </c>
      <c r="C306" s="1" t="s">
        <v>16</v>
      </c>
      <c r="D306" s="2">
        <v>4840</v>
      </c>
      <c r="E306" s="1" t="s">
        <v>705</v>
      </c>
      <c r="F306" s="3">
        <v>28190</v>
      </c>
      <c r="G306" s="1" t="s">
        <v>17</v>
      </c>
      <c r="H306" s="1" t="s">
        <v>7</v>
      </c>
      <c r="I306" s="3">
        <v>44322</v>
      </c>
      <c r="J306" s="3">
        <v>44774</v>
      </c>
      <c r="K306" s="1" t="s">
        <v>357</v>
      </c>
      <c r="L306" s="1" t="s">
        <v>355</v>
      </c>
      <c r="M306" s="1" t="s">
        <v>700</v>
      </c>
      <c r="N306" s="1" t="s">
        <v>353</v>
      </c>
      <c r="O306" s="1" t="s">
        <v>364</v>
      </c>
      <c r="P306" s="1">
        <v>2.48</v>
      </c>
      <c r="Q306" s="1">
        <v>5</v>
      </c>
      <c r="R306" s="1">
        <v>0</v>
      </c>
      <c r="S306" s="3" t="s">
        <v>14</v>
      </c>
      <c r="T306" s="7">
        <f t="shared" si="4"/>
        <v>1.2383561643835617</v>
      </c>
    </row>
    <row r="307" spans="1:20" x14ac:dyDescent="0.3">
      <c r="A307" s="1" t="s">
        <v>687</v>
      </c>
      <c r="B307" s="1" t="s">
        <v>315</v>
      </c>
      <c r="C307" s="1" t="s">
        <v>16</v>
      </c>
      <c r="D307" s="2">
        <v>6160</v>
      </c>
      <c r="E307" s="1" t="s">
        <v>705</v>
      </c>
      <c r="F307" s="3">
        <v>32553</v>
      </c>
      <c r="G307" s="1" t="s">
        <v>1</v>
      </c>
      <c r="H307" s="1" t="s">
        <v>7</v>
      </c>
      <c r="I307" s="3">
        <v>44422</v>
      </c>
      <c r="J307" s="3">
        <v>44745</v>
      </c>
      <c r="K307" s="1" t="s">
        <v>357</v>
      </c>
      <c r="L307" s="1" t="s">
        <v>355</v>
      </c>
      <c r="M307" s="1" t="s">
        <v>700</v>
      </c>
      <c r="N307" s="1" t="s">
        <v>353</v>
      </c>
      <c r="O307" s="1" t="s">
        <v>364</v>
      </c>
      <c r="P307" s="1">
        <v>3.03</v>
      </c>
      <c r="Q307" s="1">
        <v>5</v>
      </c>
      <c r="R307" s="1">
        <v>0</v>
      </c>
      <c r="S307" s="3" t="s">
        <v>14</v>
      </c>
      <c r="T307" s="7">
        <f t="shared" si="4"/>
        <v>0.8849315068493151</v>
      </c>
    </row>
    <row r="308" spans="1:20" x14ac:dyDescent="0.3">
      <c r="A308" s="1" t="s">
        <v>688</v>
      </c>
      <c r="B308" s="1" t="s">
        <v>316</v>
      </c>
      <c r="C308" s="1" t="s">
        <v>16</v>
      </c>
      <c r="D308" s="2">
        <v>5280</v>
      </c>
      <c r="E308" s="1" t="s">
        <v>705</v>
      </c>
      <c r="F308" s="3">
        <v>29945</v>
      </c>
      <c r="G308" s="1" t="s">
        <v>1</v>
      </c>
      <c r="H308" s="1" t="s">
        <v>349</v>
      </c>
      <c r="I308" s="3">
        <v>44049</v>
      </c>
      <c r="J308" s="3">
        <v>44088</v>
      </c>
      <c r="K308" s="1" t="s">
        <v>11</v>
      </c>
      <c r="L308" s="1" t="s">
        <v>355</v>
      </c>
      <c r="M308" s="1" t="s">
        <v>700</v>
      </c>
      <c r="N308" s="1" t="s">
        <v>352</v>
      </c>
      <c r="O308" s="1" t="s">
        <v>364</v>
      </c>
      <c r="P308" s="1">
        <v>4.6500000000000004</v>
      </c>
      <c r="Q308" s="1">
        <v>4</v>
      </c>
      <c r="R308" s="1">
        <v>0</v>
      </c>
      <c r="S308" s="3" t="s">
        <v>14</v>
      </c>
      <c r="T308" s="7">
        <f t="shared" si="4"/>
        <v>0.10684931506849316</v>
      </c>
    </row>
    <row r="309" spans="1:20" x14ac:dyDescent="0.3">
      <c r="A309" s="1" t="s">
        <v>689</v>
      </c>
      <c r="B309" s="1" t="s">
        <v>317</v>
      </c>
      <c r="C309" s="1" t="s">
        <v>16</v>
      </c>
      <c r="D309" s="2">
        <v>5060</v>
      </c>
      <c r="E309" s="1" t="s">
        <v>705</v>
      </c>
      <c r="F309" s="3">
        <v>33931</v>
      </c>
      <c r="G309" s="1" t="s">
        <v>1</v>
      </c>
      <c r="H309" s="1" t="s">
        <v>349</v>
      </c>
      <c r="I309" s="3">
        <v>42668</v>
      </c>
      <c r="J309" s="3">
        <v>44776</v>
      </c>
      <c r="K309" s="1" t="s">
        <v>11</v>
      </c>
      <c r="L309" s="1" t="s">
        <v>355</v>
      </c>
      <c r="M309" s="1" t="s">
        <v>700</v>
      </c>
      <c r="N309" s="1" t="s">
        <v>353</v>
      </c>
      <c r="O309" s="1" t="s">
        <v>364</v>
      </c>
      <c r="P309" s="1">
        <v>4.68</v>
      </c>
      <c r="Q309" s="1">
        <v>2</v>
      </c>
      <c r="R309" s="1">
        <v>0</v>
      </c>
      <c r="S309" s="3" t="s">
        <v>14</v>
      </c>
      <c r="T309" s="7">
        <f t="shared" si="4"/>
        <v>5.7753424657534245</v>
      </c>
    </row>
    <row r="310" spans="1:20" x14ac:dyDescent="0.3">
      <c r="A310" s="1" t="s">
        <v>690</v>
      </c>
      <c r="B310" s="1" t="s">
        <v>318</v>
      </c>
      <c r="C310" s="1" t="s">
        <v>16</v>
      </c>
      <c r="D310" s="2">
        <v>5500</v>
      </c>
      <c r="E310" s="1" t="s">
        <v>705</v>
      </c>
      <c r="F310" s="3">
        <v>21125</v>
      </c>
      <c r="G310" s="1" t="s">
        <v>1</v>
      </c>
      <c r="H310" s="1" t="s">
        <v>7</v>
      </c>
      <c r="I310" s="3">
        <v>43599</v>
      </c>
      <c r="J310" s="3">
        <v>44061</v>
      </c>
      <c r="K310" s="1" t="s">
        <v>11</v>
      </c>
      <c r="L310" s="1" t="s">
        <v>355</v>
      </c>
      <c r="M310" s="1" t="s">
        <v>700</v>
      </c>
      <c r="N310" s="1" t="s">
        <v>353</v>
      </c>
      <c r="O310" s="1" t="s">
        <v>364</v>
      </c>
      <c r="P310" s="1">
        <v>5</v>
      </c>
      <c r="Q310" s="1">
        <v>1.5</v>
      </c>
      <c r="R310" s="1">
        <v>0</v>
      </c>
      <c r="S310" s="3" t="s">
        <v>14</v>
      </c>
      <c r="T310" s="7">
        <f t="shared" si="4"/>
        <v>1.2657534246575342</v>
      </c>
    </row>
    <row r="311" spans="1:20" x14ac:dyDescent="0.3">
      <c r="A311" s="1" t="s">
        <v>691</v>
      </c>
      <c r="B311" s="1" t="s">
        <v>319</v>
      </c>
      <c r="C311" s="1" t="s">
        <v>16</v>
      </c>
      <c r="D311" s="2">
        <v>5060</v>
      </c>
      <c r="E311" s="1" t="s">
        <v>705</v>
      </c>
      <c r="F311" s="3">
        <v>29478</v>
      </c>
      <c r="G311" s="1" t="s">
        <v>17</v>
      </c>
      <c r="H311" s="1" t="s">
        <v>349</v>
      </c>
      <c r="I311" s="3">
        <v>42910</v>
      </c>
      <c r="J311" s="3">
        <v>44072</v>
      </c>
      <c r="K311" s="1" t="s">
        <v>11</v>
      </c>
      <c r="L311" s="1" t="s">
        <v>355</v>
      </c>
      <c r="M311" s="1" t="s">
        <v>700</v>
      </c>
      <c r="N311" s="1" t="s">
        <v>353</v>
      </c>
      <c r="O311" s="1" t="s">
        <v>364</v>
      </c>
      <c r="P311" s="1">
        <v>1.37</v>
      </c>
      <c r="Q311" s="1">
        <v>3.4</v>
      </c>
      <c r="R311" s="1">
        <v>0</v>
      </c>
      <c r="S311" s="3" t="s">
        <v>14</v>
      </c>
      <c r="T311" s="7">
        <f t="shared" si="4"/>
        <v>3.1835616438356165</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DBCD-DAE2-4511-B667-FE102BC45433}">
  <sheetPr>
    <outlinePr summaryBelow="0"/>
  </sheetPr>
  <dimension ref="A1:O159"/>
  <sheetViews>
    <sheetView showGridLines="0" tabSelected="1" zoomScale="70" zoomScaleNormal="70" workbookViewId="0">
      <pane ySplit="1" topLeftCell="A2" activePane="bottomLeft" state="frozen"/>
      <selection activeCell="Q1" activeCellId="1" sqref="D1:D1048576 Q1:Q1048576"/>
      <selection pane="bottomLeft" activeCell="J99" sqref="J99"/>
    </sheetView>
  </sheetViews>
  <sheetFormatPr baseColWidth="10" defaultRowHeight="14.4" outlineLevelRow="2" x14ac:dyDescent="0.3"/>
  <cols>
    <col min="2" max="2" width="27.5546875" customWidth="1"/>
    <col min="3" max="3" width="23.88671875" customWidth="1"/>
    <col min="4" max="4" width="23.33203125" customWidth="1"/>
    <col min="5" max="5" width="16.109375" customWidth="1"/>
    <col min="6" max="6" width="37.33203125" customWidth="1"/>
    <col min="7" max="7" width="27.33203125" customWidth="1"/>
    <col min="8" max="8" width="17.6640625" customWidth="1"/>
    <col min="9" max="9" width="16.88671875" bestFit="1" customWidth="1"/>
    <col min="10" max="10" width="11.5546875" customWidth="1"/>
    <col min="13" max="13" width="8.88671875"/>
    <col min="15" max="15" width="21.33203125" bestFit="1" customWidth="1"/>
  </cols>
  <sheetData>
    <row r="1" spans="1:15" ht="61.2" customHeight="1" x14ac:dyDescent="0.3">
      <c r="A1" s="56" t="s">
        <v>371</v>
      </c>
      <c r="B1" s="56"/>
      <c r="C1" s="56"/>
      <c r="D1" s="56"/>
      <c r="E1" s="56"/>
      <c r="F1" s="56"/>
      <c r="G1" s="56"/>
      <c r="H1" s="56"/>
      <c r="I1" s="56"/>
      <c r="J1" s="56"/>
      <c r="K1" s="56"/>
      <c r="M1" s="1"/>
      <c r="O1" s="1"/>
    </row>
    <row r="2" spans="1:15" ht="24" customHeight="1" x14ac:dyDescent="0.3">
      <c r="A2" s="58" t="s">
        <v>698</v>
      </c>
      <c r="B2" s="58"/>
      <c r="C2" s="58"/>
      <c r="D2" s="58"/>
      <c r="E2" s="58"/>
      <c r="F2" s="58"/>
      <c r="G2" s="58"/>
      <c r="H2" s="58"/>
      <c r="I2" s="58"/>
      <c r="J2" s="58"/>
      <c r="K2" s="58"/>
      <c r="M2" s="1"/>
      <c r="O2" s="1"/>
    </row>
    <row r="3" spans="1:15" x14ac:dyDescent="0.3">
      <c r="M3" s="1"/>
      <c r="O3" s="1"/>
    </row>
    <row r="4" spans="1:15" s="9" customFormat="1" ht="15.6" x14ac:dyDescent="0.3">
      <c r="A4" s="8" t="s">
        <v>384</v>
      </c>
      <c r="L4" s="10"/>
      <c r="N4" s="10"/>
    </row>
    <row r="5" spans="1:15" outlineLevel="1" x14ac:dyDescent="0.3">
      <c r="M5" s="1"/>
      <c r="O5" s="1"/>
    </row>
    <row r="6" spans="1:15" s="13" customFormat="1" ht="15.6" outlineLevel="1" x14ac:dyDescent="0.3">
      <c r="B6" s="17" t="s">
        <v>373</v>
      </c>
      <c r="C6" s="17" t="s">
        <v>374</v>
      </c>
      <c r="D6" s="17" t="s">
        <v>375</v>
      </c>
      <c r="F6" s="17" t="s">
        <v>376</v>
      </c>
      <c r="G6" s="17" t="s">
        <v>374</v>
      </c>
      <c r="O6" s="16"/>
    </row>
    <row r="7" spans="1:15" s="13" customFormat="1" ht="15.6" outlineLevel="1" x14ac:dyDescent="0.3">
      <c r="B7" s="16" t="s">
        <v>700</v>
      </c>
      <c r="C7" s="21">
        <f>COUNTIFS(BD!$M:$M,'Análisis - Respuestas'!B7,BD!$L:$L,"Activo")</f>
        <v>125</v>
      </c>
      <c r="D7" s="49">
        <f>C7/$C$11</f>
        <v>0.60386473429951693</v>
      </c>
      <c r="F7" s="16" t="s">
        <v>356</v>
      </c>
      <c r="G7" s="42">
        <f>COUNTIFS(BD!$L:$L,F7)</f>
        <v>207</v>
      </c>
    </row>
    <row r="8" spans="1:15" s="13" customFormat="1" ht="15.6" outlineLevel="1" x14ac:dyDescent="0.3">
      <c r="B8" s="16" t="s">
        <v>350</v>
      </c>
      <c r="C8" s="21">
        <f>COUNTIFS(BD!$M:$M,'Análisis - Respuestas'!B8,BD!$L:$L,"Activo")</f>
        <v>27</v>
      </c>
      <c r="D8" s="49">
        <f t="shared" ref="D8:D10" si="0">C8/$C$11</f>
        <v>0.13043478260869565</v>
      </c>
      <c r="F8" s="16" t="s">
        <v>354</v>
      </c>
      <c r="G8" s="21">
        <f>COUNTIFS(BD!$L:$L,F8)</f>
        <v>24</v>
      </c>
    </row>
    <row r="9" spans="1:15" s="13" customFormat="1" ht="15.6" outlineLevel="1" x14ac:dyDescent="0.3">
      <c r="B9" s="16" t="s">
        <v>8</v>
      </c>
      <c r="C9" s="21">
        <f>COUNTIFS(BD!$M:$M,'Análisis - Respuestas'!B9,BD!$L:$L,"Activo")</f>
        <v>8</v>
      </c>
      <c r="D9" s="49">
        <f t="shared" si="0"/>
        <v>3.864734299516908E-2</v>
      </c>
      <c r="F9" s="16" t="s">
        <v>355</v>
      </c>
      <c r="G9" s="21">
        <f>COUNTIFS(BD!$L:$L,F9)</f>
        <v>79</v>
      </c>
    </row>
    <row r="10" spans="1:15" s="13" customFormat="1" ht="15.6" outlineLevel="1" x14ac:dyDescent="0.3">
      <c r="B10" s="16" t="s">
        <v>9</v>
      </c>
      <c r="C10" s="21">
        <f>COUNTIFS(BD!$M:$M,'Análisis - Respuestas'!B10,BD!$L:$L,"Activo")</f>
        <v>47</v>
      </c>
      <c r="D10" s="49">
        <f t="shared" si="0"/>
        <v>0.22705314009661837</v>
      </c>
      <c r="F10" s="28" t="s">
        <v>372</v>
      </c>
      <c r="G10" s="29">
        <f>SUM(G7:G9)</f>
        <v>310</v>
      </c>
    </row>
    <row r="11" spans="1:15" s="13" customFormat="1" ht="15.6" outlineLevel="1" x14ac:dyDescent="0.3">
      <c r="B11" s="28" t="s">
        <v>372</v>
      </c>
      <c r="C11" s="29">
        <f>SUM(C7:C10)</f>
        <v>207</v>
      </c>
      <c r="D11" s="30">
        <f>SUM(D7:D10)</f>
        <v>1</v>
      </c>
    </row>
    <row r="12" spans="1:15" outlineLevel="1" x14ac:dyDescent="0.3"/>
    <row r="14" spans="1:15" s="9" customFormat="1" ht="15.6" x14ac:dyDescent="0.3">
      <c r="A14" s="8" t="s">
        <v>716</v>
      </c>
    </row>
    <row r="15" spans="1:15" outlineLevel="1" x14ac:dyDescent="0.3"/>
    <row r="16" spans="1:15" s="13" customFormat="1" ht="15.6" outlineLevel="1" x14ac:dyDescent="0.3">
      <c r="B16" s="17" t="s">
        <v>377</v>
      </c>
      <c r="C16" s="17" t="s">
        <v>374</v>
      </c>
      <c r="D16" s="17" t="s">
        <v>375</v>
      </c>
      <c r="E16" s="17" t="s">
        <v>378</v>
      </c>
    </row>
    <row r="17" spans="1:5" s="13" customFormat="1" ht="15.6" outlineLevel="1" x14ac:dyDescent="0.3">
      <c r="B17" s="16" t="s">
        <v>379</v>
      </c>
      <c r="C17" s="21">
        <f>COUNTIFS(BD!$G:$G,"F",BD!$L:$L,"Activo")</f>
        <v>116</v>
      </c>
      <c r="D17" s="50">
        <f>C17/$C$20</f>
        <v>0.56038647342995174</v>
      </c>
      <c r="E17" s="40">
        <f>SUMIFS(BD!$D:$D,BD!$L:$L,"Activo",BD!$G:$G,"F")</f>
        <v>755850</v>
      </c>
    </row>
    <row r="18" spans="1:5" s="13" customFormat="1" ht="15.6" outlineLevel="1" x14ac:dyDescent="0.3">
      <c r="B18" s="16" t="s">
        <v>380</v>
      </c>
      <c r="C18" s="21">
        <f>COUNTIFS(BD!$G:$G,"M",BD!$L:$L,"Activo")</f>
        <v>89</v>
      </c>
      <c r="D18" s="50">
        <f t="shared" ref="D18:D19" si="1">C18/$C$20</f>
        <v>0.42995169082125606</v>
      </c>
      <c r="E18" s="40">
        <f>SUMIFS(BD!$D:$D,BD!$L:$L,"Activo",BD!$G:$G,"M")</f>
        <v>612864</v>
      </c>
    </row>
    <row r="19" spans="1:5" s="13" customFormat="1" ht="15.6" outlineLevel="1" x14ac:dyDescent="0.3">
      <c r="B19" s="16" t="s">
        <v>693</v>
      </c>
      <c r="C19" s="21">
        <f>COUNTIFS(BD!$G:$G,"NB",BD!$L:$L,"Activo")</f>
        <v>2</v>
      </c>
      <c r="D19" s="50">
        <f t="shared" si="1"/>
        <v>9.6618357487922701E-3</v>
      </c>
      <c r="E19" s="40">
        <f>SUMIFS(BD!$D:$D,BD!$L:$L,"Activo",BD!$G:$G,"NB")</f>
        <v>24156</v>
      </c>
    </row>
    <row r="20" spans="1:5" s="13" customFormat="1" ht="15.6" outlineLevel="1" x14ac:dyDescent="0.3">
      <c r="B20" s="28" t="s">
        <v>372</v>
      </c>
      <c r="C20" s="29">
        <f>SUM(C17:C19)</f>
        <v>207</v>
      </c>
      <c r="D20" s="30">
        <f>SUM(D17:D19)</f>
        <v>1</v>
      </c>
      <c r="E20" s="41">
        <f>SUM(E17:E19)</f>
        <v>1392870</v>
      </c>
    </row>
    <row r="21" spans="1:5" outlineLevel="1" x14ac:dyDescent="0.3"/>
    <row r="23" spans="1:5" s="9" customFormat="1" ht="15.6" x14ac:dyDescent="0.3">
      <c r="A23" s="8" t="s">
        <v>715</v>
      </c>
    </row>
    <row r="24" spans="1:5" outlineLevel="1" x14ac:dyDescent="0.3">
      <c r="B24" s="1"/>
    </row>
    <row r="25" spans="1:5" s="13" customFormat="1" ht="15.6" outlineLevel="1" x14ac:dyDescent="0.3">
      <c r="B25" s="17" t="s">
        <v>338</v>
      </c>
      <c r="C25" s="17" t="s">
        <v>381</v>
      </c>
      <c r="D25" s="17" t="s">
        <v>694</v>
      </c>
      <c r="E25" s="17" t="s">
        <v>383</v>
      </c>
    </row>
    <row r="26" spans="1:5" s="13" customFormat="1" ht="15.6" outlineLevel="1" x14ac:dyDescent="0.3">
      <c r="B26" s="16" t="s">
        <v>351</v>
      </c>
      <c r="C26" s="21">
        <f>COUNTIFS(BD!$N:$N,'Análisis - Respuestas'!B26)</f>
        <v>61</v>
      </c>
      <c r="D26" s="21">
        <f>COUNTIFS(BD!$N:$N,'Análisis - Respuestas'!B26,BD!$L:$L,"Activo")</f>
        <v>32</v>
      </c>
      <c r="E26" s="49">
        <f>D26/$D$30</f>
        <v>0.15458937198067632</v>
      </c>
    </row>
    <row r="27" spans="1:5" s="13" customFormat="1" ht="15.6" outlineLevel="1" x14ac:dyDescent="0.3">
      <c r="B27" s="16" t="s">
        <v>701</v>
      </c>
      <c r="C27" s="21">
        <f>COUNTIFS(BD!$N:$N,'Análisis - Respuestas'!B27)</f>
        <v>54</v>
      </c>
      <c r="D27" s="21">
        <f>COUNTIFS(BD!$N:$N,'Análisis - Respuestas'!B27,BD!$L:$L,"Activo")</f>
        <v>43</v>
      </c>
      <c r="E27" s="50">
        <f t="shared" ref="E27:E29" si="2">D27/$D$30</f>
        <v>0.20772946859903382</v>
      </c>
    </row>
    <row r="28" spans="1:5" s="13" customFormat="1" ht="15.6" outlineLevel="1" x14ac:dyDescent="0.3">
      <c r="B28" s="39" t="s">
        <v>353</v>
      </c>
      <c r="C28" s="21">
        <f>COUNTIFS(BD!$N:$N,'Análisis - Respuestas'!B28)</f>
        <v>129</v>
      </c>
      <c r="D28" s="21">
        <f>COUNTIFS(BD!$N:$N,'Análisis - Respuestas'!B28,BD!$L:$L,"Activo")</f>
        <v>87</v>
      </c>
      <c r="E28" s="49">
        <f t="shared" si="2"/>
        <v>0.42028985507246375</v>
      </c>
    </row>
    <row r="29" spans="1:5" s="13" customFormat="1" ht="15.6" outlineLevel="1" x14ac:dyDescent="0.3">
      <c r="B29" s="16" t="s">
        <v>352</v>
      </c>
      <c r="C29" s="21">
        <f>COUNTIFS(BD!$N:$N,'Análisis - Respuestas'!B29)</f>
        <v>66</v>
      </c>
      <c r="D29" s="21">
        <f>COUNTIFS(BD!$N:$N,'Análisis - Respuestas'!B29,BD!$L:$L,"Activo")</f>
        <v>45</v>
      </c>
      <c r="E29" s="49">
        <f t="shared" si="2"/>
        <v>0.21739130434782608</v>
      </c>
    </row>
    <row r="30" spans="1:5" s="13" customFormat="1" ht="15.6" outlineLevel="1" x14ac:dyDescent="0.3">
      <c r="B30" s="28" t="s">
        <v>372</v>
      </c>
      <c r="C30" s="29">
        <f>SUM(C26:C29)</f>
        <v>310</v>
      </c>
      <c r="D30" s="29">
        <f t="shared" ref="D30" si="3">SUM(D26:D29)</f>
        <v>207</v>
      </c>
      <c r="E30" s="30">
        <f>SUM(E26:E29)</f>
        <v>0.99999999999999989</v>
      </c>
    </row>
    <row r="31" spans="1:5" outlineLevel="1" x14ac:dyDescent="0.3">
      <c r="C31" s="5"/>
      <c r="D31" s="5"/>
      <c r="E31" s="5"/>
    </row>
    <row r="33" spans="1:14" s="9" customFormat="1" ht="15.6" x14ac:dyDescent="0.3">
      <c r="A33" s="8" t="s">
        <v>714</v>
      </c>
      <c r="L33" s="9" t="s">
        <v>385</v>
      </c>
    </row>
    <row r="34" spans="1:14" outlineLevel="2" x14ac:dyDescent="0.3">
      <c r="B34" s="9"/>
    </row>
    <row r="35" spans="1:14" s="13" customFormat="1" ht="15.6" outlineLevel="2" x14ac:dyDescent="0.3">
      <c r="B35" s="17" t="s">
        <v>386</v>
      </c>
      <c r="C35" s="17" t="s">
        <v>382</v>
      </c>
      <c r="D35" s="17" t="s">
        <v>383</v>
      </c>
      <c r="N35" s="16"/>
    </row>
    <row r="36" spans="1:14" s="13" customFormat="1" ht="15.6" outlineLevel="2" x14ac:dyDescent="0.3">
      <c r="B36" s="16" t="s">
        <v>366</v>
      </c>
      <c r="C36" s="21">
        <f>COUNTIFS(BD!$O:$O, 'Análisis - Respuestas'!B36,BD!$L:$L,"Activo")</f>
        <v>29</v>
      </c>
      <c r="D36" s="49">
        <f>C36/$C$39</f>
        <v>0.14009661835748793</v>
      </c>
      <c r="N36" s="16"/>
    </row>
    <row r="37" spans="1:14" s="13" customFormat="1" ht="15.6" outlineLevel="2" x14ac:dyDescent="0.3">
      <c r="B37" s="16" t="s">
        <v>364</v>
      </c>
      <c r="C37" s="21">
        <f>COUNTIFS(BD!$O:$O, 'Análisis - Respuestas'!B37,BD!$L:$L,"Activo")</f>
        <v>162</v>
      </c>
      <c r="D37" s="49">
        <f>C37/$C$39</f>
        <v>0.78260869565217395</v>
      </c>
      <c r="N37" s="16"/>
    </row>
    <row r="38" spans="1:14" s="13" customFormat="1" ht="15.6" outlineLevel="2" x14ac:dyDescent="0.3">
      <c r="B38" s="16" t="s">
        <v>365</v>
      </c>
      <c r="C38" s="21">
        <f>COUNTIFS(BD!$O:$O, 'Análisis - Respuestas'!B38,BD!$L:$L,"Activo")</f>
        <v>16</v>
      </c>
      <c r="D38" s="50">
        <f>C38/$C$39</f>
        <v>7.7294685990338161E-2</v>
      </c>
    </row>
    <row r="39" spans="1:14" s="13" customFormat="1" ht="15.6" outlineLevel="2" x14ac:dyDescent="0.3">
      <c r="B39" s="28" t="s">
        <v>372</v>
      </c>
      <c r="C39" s="29">
        <f>SUM(C36:C38)</f>
        <v>207</v>
      </c>
      <c r="D39" s="30">
        <f>SUM(D36:D38)</f>
        <v>1</v>
      </c>
    </row>
    <row r="40" spans="1:14" outlineLevel="2" x14ac:dyDescent="0.3"/>
    <row r="42" spans="1:14" s="9" customFormat="1" ht="15.6" x14ac:dyDescent="0.3">
      <c r="A42" s="8" t="s">
        <v>713</v>
      </c>
    </row>
    <row r="43" spans="1:14" outlineLevel="2" x14ac:dyDescent="0.3"/>
    <row r="44" spans="1:14" s="13" customFormat="1" ht="15.6" outlineLevel="2" x14ac:dyDescent="0.3">
      <c r="B44" s="17" t="s">
        <v>376</v>
      </c>
      <c r="C44" s="17" t="s">
        <v>387</v>
      </c>
    </row>
    <row r="45" spans="1:14" s="13" customFormat="1" ht="15.6" outlineLevel="2" x14ac:dyDescent="0.3">
      <c r="B45" s="16" t="s">
        <v>356</v>
      </c>
      <c r="C45" s="35">
        <f>AVERAGEIF(BD!$L:$L,'Análisis - Respuestas'!B45,BD!$T:$T)</f>
        <v>3.352709946396661</v>
      </c>
    </row>
    <row r="46" spans="1:14" s="13" customFormat="1" ht="15.6" outlineLevel="2" x14ac:dyDescent="0.3">
      <c r="B46" s="16" t="s">
        <v>354</v>
      </c>
      <c r="C46" s="36">
        <f>AVERAGEIF(BD!$L:$L,'Análisis - Respuestas'!B46,BD!$T:$T)</f>
        <v>1.7017123287671232</v>
      </c>
    </row>
    <row r="47" spans="1:14" s="13" customFormat="1" ht="15.6" outlineLevel="2" x14ac:dyDescent="0.3">
      <c r="B47" s="16" t="s">
        <v>355</v>
      </c>
      <c r="C47" s="36">
        <f>AVERAGEIF(BD!$L:$L,'Análisis - Respuestas'!B47,BD!$T:$T)</f>
        <v>2.4492803884168546</v>
      </c>
    </row>
    <row r="48" spans="1:14" s="13" customFormat="1" ht="15.6" outlineLevel="2" x14ac:dyDescent="0.3">
      <c r="B48" s="28" t="s">
        <v>372</v>
      </c>
      <c r="C48" s="37">
        <f>AVERAGE(C45:C47)</f>
        <v>2.5012342211935459</v>
      </c>
    </row>
    <row r="49" spans="1:11" outlineLevel="2" x14ac:dyDescent="0.3"/>
    <row r="51" spans="1:11" s="9" customFormat="1" ht="15.6" x14ac:dyDescent="0.3">
      <c r="A51" s="8" t="s">
        <v>711</v>
      </c>
    </row>
    <row r="52" spans="1:11" outlineLevel="1" x14ac:dyDescent="0.3"/>
    <row r="53" spans="1:11" s="13" customFormat="1" ht="15.6" outlineLevel="1" x14ac:dyDescent="0.3">
      <c r="B53" s="17" t="s">
        <v>373</v>
      </c>
      <c r="C53" s="17" t="s">
        <v>696</v>
      </c>
    </row>
    <row r="54" spans="1:11" s="13" customFormat="1" ht="15.6" outlineLevel="1" x14ac:dyDescent="0.3">
      <c r="B54" s="16" t="s">
        <v>700</v>
      </c>
      <c r="C54" s="36">
        <f>AVERAGEIFS(BD!$Q:$Q,BD!$L:$L,"Activo",BD!$M:$M,'Análisis - Respuestas'!B54)</f>
        <v>3.8232000000000004</v>
      </c>
    </row>
    <row r="55" spans="1:11" s="13" customFormat="1" ht="15.6" outlineLevel="1" x14ac:dyDescent="0.3">
      <c r="B55" s="16" t="s">
        <v>350</v>
      </c>
      <c r="C55" s="36">
        <f>AVERAGEIFS(BD!$Q:$Q,BD!$L:$L,"Activo",BD!$M:$M,'Análisis - Respuestas'!B55)</f>
        <v>3.8888888888888888</v>
      </c>
    </row>
    <row r="56" spans="1:11" s="13" customFormat="1" ht="15.6" outlineLevel="1" x14ac:dyDescent="0.3">
      <c r="B56" s="16" t="s">
        <v>8</v>
      </c>
      <c r="C56" s="36">
        <f>AVERAGEIFS(BD!$Q:$Q,BD!$L:$L,"Activo",BD!$M:$M,'Análisis - Respuestas'!B56)</f>
        <v>3.5</v>
      </c>
    </row>
    <row r="57" spans="1:11" s="13" customFormat="1" ht="15.6" outlineLevel="1" x14ac:dyDescent="0.3">
      <c r="B57" s="16" t="s">
        <v>9</v>
      </c>
      <c r="C57" s="35">
        <f>AVERAGEIFS(BD!$Q:$Q,BD!$L:$L,"Activo",BD!$M:$M,'Análisis - Respuestas'!B57)</f>
        <v>4.042553191489362</v>
      </c>
    </row>
    <row r="58" spans="1:11" s="13" customFormat="1" ht="14.4" customHeight="1" outlineLevel="1" x14ac:dyDescent="0.3">
      <c r="B58" s="28" t="s">
        <v>372</v>
      </c>
      <c r="C58" s="38">
        <f>AVERAGEIFS(BD!$Q:$Q,BD!$L:$L,"Activo")</f>
        <v>3.8690821256038652</v>
      </c>
      <c r="D58" s="57" t="s">
        <v>712</v>
      </c>
      <c r="E58" s="57"/>
      <c r="F58" s="57"/>
      <c r="G58" s="57"/>
      <c r="H58" s="57"/>
      <c r="I58" s="57"/>
      <c r="J58" s="57"/>
      <c r="K58" s="57"/>
    </row>
    <row r="59" spans="1:11" s="13" customFormat="1" ht="15.6" outlineLevel="1" x14ac:dyDescent="0.3">
      <c r="A59" s="13" t="s">
        <v>697</v>
      </c>
      <c r="D59" s="57"/>
      <c r="E59" s="57"/>
      <c r="F59" s="57"/>
      <c r="G59" s="57"/>
      <c r="H59" s="57"/>
      <c r="I59" s="57"/>
      <c r="J59" s="57"/>
      <c r="K59" s="57"/>
    </row>
    <row r="60" spans="1:11" outlineLevel="1" x14ac:dyDescent="0.3"/>
    <row r="62" spans="1:11" s="9" customFormat="1" ht="15.6" x14ac:dyDescent="0.3">
      <c r="A62" s="8" t="s">
        <v>733</v>
      </c>
    </row>
    <row r="63" spans="1:11" outlineLevel="2" x14ac:dyDescent="0.3"/>
    <row r="64" spans="1:11" outlineLevel="2" x14ac:dyDescent="0.3"/>
    <row r="65" outlineLevel="2" x14ac:dyDescent="0.3"/>
    <row r="66" outlineLevel="2" x14ac:dyDescent="0.3"/>
    <row r="67" outlineLevel="2" x14ac:dyDescent="0.3"/>
    <row r="68" outlineLevel="2" x14ac:dyDescent="0.3"/>
    <row r="69" outlineLevel="2" x14ac:dyDescent="0.3"/>
    <row r="70" outlineLevel="2" x14ac:dyDescent="0.3"/>
    <row r="71" outlineLevel="2" x14ac:dyDescent="0.3"/>
    <row r="72" outlineLevel="2" x14ac:dyDescent="0.3"/>
    <row r="73" outlineLevel="2" x14ac:dyDescent="0.3"/>
    <row r="74" outlineLevel="2" x14ac:dyDescent="0.3"/>
    <row r="75" outlineLevel="2" x14ac:dyDescent="0.3"/>
    <row r="76" outlineLevel="2" x14ac:dyDescent="0.3"/>
    <row r="77" outlineLevel="2" x14ac:dyDescent="0.3"/>
    <row r="78" outlineLevel="2" x14ac:dyDescent="0.3"/>
    <row r="79" outlineLevel="2" x14ac:dyDescent="0.3"/>
    <row r="80" outlineLevel="2" x14ac:dyDescent="0.3"/>
    <row r="81" spans="1:15" outlineLevel="2" x14ac:dyDescent="0.3"/>
    <row r="82" spans="1:15" s="13" customFormat="1" ht="15.6" outlineLevel="2" x14ac:dyDescent="0.3">
      <c r="A82" s="13" t="s">
        <v>706</v>
      </c>
    </row>
    <row r="83" spans="1:15" outlineLevel="2" x14ac:dyDescent="0.3"/>
    <row r="85" spans="1:15" ht="24" customHeight="1" x14ac:dyDescent="0.3">
      <c r="A85" s="58" t="s">
        <v>699</v>
      </c>
      <c r="B85" s="58"/>
      <c r="C85" s="58"/>
      <c r="D85" s="58"/>
      <c r="E85" s="58"/>
      <c r="F85" s="58"/>
      <c r="G85" s="58"/>
      <c r="H85" s="58"/>
      <c r="I85" s="58"/>
      <c r="J85" s="58"/>
      <c r="K85" s="58"/>
      <c r="M85" s="1"/>
      <c r="O85" s="1"/>
    </row>
    <row r="87" spans="1:15" s="9" customFormat="1" ht="15.6" x14ac:dyDescent="0.3">
      <c r="A87" s="8" t="s">
        <v>717</v>
      </c>
    </row>
    <row r="88" spans="1:15" outlineLevel="1" x14ac:dyDescent="0.3"/>
    <row r="89" spans="1:15" s="13" customFormat="1" ht="15.6" outlineLevel="1" x14ac:dyDescent="0.3">
      <c r="B89" s="17" t="s">
        <v>376</v>
      </c>
      <c r="C89" s="17" t="s">
        <v>374</v>
      </c>
    </row>
    <row r="90" spans="1:15" s="13" customFormat="1" ht="15.6" outlineLevel="1" x14ac:dyDescent="0.3">
      <c r="B90" s="16" t="s">
        <v>354</v>
      </c>
      <c r="C90" s="21">
        <f>COUNTIFS(BD!$L:$L,'Análisis - Respuestas'!B90)</f>
        <v>24</v>
      </c>
    </row>
    <row r="91" spans="1:15" s="13" customFormat="1" ht="15.6" outlineLevel="1" x14ac:dyDescent="0.3">
      <c r="B91" s="16" t="s">
        <v>355</v>
      </c>
      <c r="C91" s="21">
        <f>COUNTIFS(BD!$L:$L,'Análisis - Respuestas'!B91)</f>
        <v>79</v>
      </c>
    </row>
    <row r="92" spans="1:15" s="13" customFormat="1" ht="15.6" outlineLevel="1" x14ac:dyDescent="0.3">
      <c r="B92" s="28" t="s">
        <v>372</v>
      </c>
      <c r="C92" s="29">
        <f>SUM(C90:C91)</f>
        <v>103</v>
      </c>
    </row>
    <row r="93" spans="1:15" outlineLevel="1" x14ac:dyDescent="0.3"/>
    <row r="95" spans="1:15" s="9" customFormat="1" ht="15.6" x14ac:dyDescent="0.3">
      <c r="A95" s="8" t="s">
        <v>718</v>
      </c>
      <c r="L95" s="10"/>
    </row>
    <row r="96" spans="1:15" ht="16.2" customHeight="1" outlineLevel="1" x14ac:dyDescent="0.3">
      <c r="L96" s="1"/>
    </row>
    <row r="97" spans="1:12" s="13" customFormat="1" ht="18.600000000000001" customHeight="1" outlineLevel="1" x14ac:dyDescent="0.3">
      <c r="B97" s="14" t="s">
        <v>391</v>
      </c>
      <c r="C97" s="34"/>
      <c r="D97" s="34"/>
      <c r="F97" s="14" t="s">
        <v>736</v>
      </c>
      <c r="G97" s="34"/>
      <c r="H97" s="34"/>
      <c r="L97" s="16"/>
    </row>
    <row r="98" spans="1:12" s="13" customFormat="1" ht="15.6" outlineLevel="1" x14ac:dyDescent="0.3">
      <c r="B98" s="17" t="s">
        <v>336</v>
      </c>
      <c r="C98" s="17" t="s">
        <v>374</v>
      </c>
      <c r="D98" s="17" t="s">
        <v>375</v>
      </c>
      <c r="F98" s="17" t="s">
        <v>336</v>
      </c>
      <c r="G98" s="17" t="s">
        <v>374</v>
      </c>
      <c r="H98" s="17" t="s">
        <v>375</v>
      </c>
      <c r="L98" s="16"/>
    </row>
    <row r="99" spans="1:12" s="13" customFormat="1" ht="15.6" outlineLevel="1" x14ac:dyDescent="0.3">
      <c r="B99" s="16" t="s">
        <v>362</v>
      </c>
      <c r="C99" s="21">
        <f>COUNTIFS(BD!$K:$K,'Análisis - Respuestas'!B99,BD!$L:$L,"Solicito despido")</f>
        <v>0</v>
      </c>
      <c r="D99" s="49">
        <f>C99/$C$106</f>
        <v>0</v>
      </c>
      <c r="F99" s="16" t="s">
        <v>362</v>
      </c>
      <c r="G99" s="21">
        <f>COUNTIFS(BD!$K:$K,'Análisis - Respuestas'!F99)</f>
        <v>14</v>
      </c>
      <c r="H99" s="49">
        <f t="shared" ref="H99:H105" si="4">G99/$G$106</f>
        <v>0.13592233009708737</v>
      </c>
      <c r="L99" s="16"/>
    </row>
    <row r="100" spans="1:12" s="13" customFormat="1" ht="15.6" outlineLevel="1" x14ac:dyDescent="0.3">
      <c r="B100" s="18" t="s">
        <v>357</v>
      </c>
      <c r="C100" s="19">
        <f>COUNTIFS(BD!$K:$K,'Análisis - Respuestas'!B100,BD!$L:$L,"Solicito despido")</f>
        <v>31</v>
      </c>
      <c r="D100" s="51">
        <f t="shared" ref="D100:D105" si="5">C100/$C$106</f>
        <v>0.39240506329113922</v>
      </c>
      <c r="F100" s="18" t="s">
        <v>357</v>
      </c>
      <c r="G100" s="19">
        <f>COUNTIFS(BD!$K:$K,'Análisis - Respuestas'!F100)</f>
        <v>31</v>
      </c>
      <c r="H100" s="51">
        <f t="shared" si="4"/>
        <v>0.30097087378640774</v>
      </c>
      <c r="L100" s="16"/>
    </row>
    <row r="101" spans="1:12" s="13" customFormat="1" ht="15.6" outlineLevel="1" x14ac:dyDescent="0.3">
      <c r="B101" s="16" t="s">
        <v>10</v>
      </c>
      <c r="C101" s="21">
        <f>COUNTIFS(BD!$K:$K,'Análisis - Respuestas'!B101,BD!$L:$L,"Solicito despido")</f>
        <v>0</v>
      </c>
      <c r="D101" s="49">
        <f t="shared" si="5"/>
        <v>0</v>
      </c>
      <c r="F101" s="16" t="s">
        <v>10</v>
      </c>
      <c r="G101" s="21">
        <f>COUNTIFS(BD!$K:$K,'Análisis - Respuestas'!F101)</f>
        <v>3</v>
      </c>
      <c r="H101" s="49">
        <f t="shared" si="4"/>
        <v>2.9126213592233011E-2</v>
      </c>
      <c r="L101" s="16"/>
    </row>
    <row r="102" spans="1:12" s="13" customFormat="1" ht="15.6" outlineLevel="1" x14ac:dyDescent="0.3">
      <c r="B102" s="18" t="s">
        <v>11</v>
      </c>
      <c r="C102" s="19">
        <f>COUNTIFS(BD!$K:$K,'Análisis - Respuestas'!B102,BD!$L:$L,"Solicito despido")</f>
        <v>40</v>
      </c>
      <c r="D102" s="51">
        <f t="shared" si="5"/>
        <v>0.50632911392405067</v>
      </c>
      <c r="F102" s="18" t="s">
        <v>11</v>
      </c>
      <c r="G102" s="19">
        <f>COUNTIFS(BD!$K:$K,'Análisis - Respuestas'!F102)</f>
        <v>40</v>
      </c>
      <c r="H102" s="51">
        <f t="shared" si="4"/>
        <v>0.38834951456310679</v>
      </c>
      <c r="L102" s="16"/>
    </row>
    <row r="103" spans="1:12" s="13" customFormat="1" ht="15.6" outlineLevel="1" x14ac:dyDescent="0.3">
      <c r="B103" s="16" t="s">
        <v>358</v>
      </c>
      <c r="C103" s="21">
        <f>COUNTIFS(BD!$K:$K,'Análisis - Respuestas'!B103,BD!$L:$L,"Solicito despido")</f>
        <v>0</v>
      </c>
      <c r="D103" s="49">
        <f t="shared" si="5"/>
        <v>0</v>
      </c>
      <c r="F103" s="16" t="s">
        <v>358</v>
      </c>
      <c r="G103" s="21">
        <f>COUNTIFS(BD!$K:$K,'Análisis - Respuestas'!F103)</f>
        <v>6</v>
      </c>
      <c r="H103" s="49">
        <f t="shared" si="4"/>
        <v>5.8252427184466021E-2</v>
      </c>
    </row>
    <row r="104" spans="1:12" s="13" customFormat="1" ht="15.6" outlineLevel="1" x14ac:dyDescent="0.3">
      <c r="B104" s="18" t="s">
        <v>359</v>
      </c>
      <c r="C104" s="19">
        <f>COUNTIFS(BD!$K:$K,'Análisis - Respuestas'!B104,BD!$L:$L,"Solicito despido")</f>
        <v>8</v>
      </c>
      <c r="D104" s="51">
        <f t="shared" si="5"/>
        <v>0.10126582278481013</v>
      </c>
      <c r="F104" s="18" t="s">
        <v>359</v>
      </c>
      <c r="G104" s="19">
        <f>COUNTIFS(BD!$K:$K,'Análisis - Respuestas'!F104)</f>
        <v>8</v>
      </c>
      <c r="H104" s="51">
        <f t="shared" si="4"/>
        <v>7.7669902912621352E-2</v>
      </c>
    </row>
    <row r="105" spans="1:12" s="13" customFormat="1" ht="15.6" outlineLevel="1" x14ac:dyDescent="0.3">
      <c r="B105" s="16" t="s">
        <v>360</v>
      </c>
      <c r="C105" s="21">
        <f>COUNTIFS(BD!$K:$K,'Análisis - Respuestas'!B105,BD!$L:$L,"Solicito despido")</f>
        <v>0</v>
      </c>
      <c r="D105" s="49">
        <f t="shared" si="5"/>
        <v>0</v>
      </c>
      <c r="F105" s="16" t="s">
        <v>360</v>
      </c>
      <c r="G105" s="21">
        <f>COUNTIFS(BD!$K:$K,'Análisis - Respuestas'!F105)</f>
        <v>1</v>
      </c>
      <c r="H105" s="49">
        <f t="shared" si="4"/>
        <v>9.7087378640776691E-3</v>
      </c>
    </row>
    <row r="106" spans="1:12" s="13" customFormat="1" ht="15.6" outlineLevel="1" x14ac:dyDescent="0.3">
      <c r="B106" s="28" t="s">
        <v>372</v>
      </c>
      <c r="C106" s="29">
        <f>SUM(C99:C105)</f>
        <v>79</v>
      </c>
      <c r="D106" s="30">
        <f>SUM(D99:D105)</f>
        <v>1</v>
      </c>
      <c r="F106" s="28" t="s">
        <v>372</v>
      </c>
      <c r="G106" s="29">
        <f>SUM(G99:G105)</f>
        <v>103</v>
      </c>
      <c r="H106" s="30">
        <f>SUM(H99:H105)</f>
        <v>0.99999999999999989</v>
      </c>
    </row>
    <row r="107" spans="1:12" outlineLevel="1" x14ac:dyDescent="0.3"/>
    <row r="109" spans="1:12" s="9" customFormat="1" ht="15.6" x14ac:dyDescent="0.3">
      <c r="A109" s="8" t="s">
        <v>734</v>
      </c>
    </row>
    <row r="110" spans="1:12" s="13" customFormat="1" ht="15.6" outlineLevel="1" x14ac:dyDescent="0.3">
      <c r="A110" s="12"/>
    </row>
    <row r="111" spans="1:12" s="13" customFormat="1" ht="19.8" customHeight="1" outlineLevel="1" x14ac:dyDescent="0.3">
      <c r="A111" s="12"/>
      <c r="F111" s="11" t="s">
        <v>389</v>
      </c>
      <c r="G111" s="43" t="s">
        <v>700</v>
      </c>
    </row>
    <row r="112" spans="1:12" s="13" customFormat="1" ht="15.6" outlineLevel="1" x14ac:dyDescent="0.3">
      <c r="B112" s="14" t="s">
        <v>391</v>
      </c>
      <c r="C112" s="15"/>
      <c r="D112" s="15"/>
      <c r="F112" s="14" t="s">
        <v>391</v>
      </c>
      <c r="G112" s="15"/>
      <c r="H112" s="15"/>
      <c r="I112" s="15"/>
      <c r="L112" s="16"/>
    </row>
    <row r="113" spans="1:9" s="13" customFormat="1" ht="15.6" outlineLevel="1" x14ac:dyDescent="0.3">
      <c r="A113" s="12"/>
      <c r="B113" s="17" t="s">
        <v>373</v>
      </c>
      <c r="C113" s="17" t="s">
        <v>374</v>
      </c>
      <c r="D113" s="17" t="s">
        <v>375</v>
      </c>
      <c r="F113" s="17" t="s">
        <v>336</v>
      </c>
      <c r="G113" s="17" t="s">
        <v>374</v>
      </c>
      <c r="H113" s="17" t="s">
        <v>375</v>
      </c>
      <c r="I113" s="17" t="s">
        <v>732</v>
      </c>
    </row>
    <row r="114" spans="1:9" s="13" customFormat="1" ht="15.6" outlineLevel="1" x14ac:dyDescent="0.3">
      <c r="A114" s="12"/>
      <c r="B114" s="18" t="s">
        <v>700</v>
      </c>
      <c r="C114" s="19">
        <f>COUNTIFS(BD!$M:$M,'Análisis - Respuestas'!B114,BD!$L:$L,"Solicito despido")</f>
        <v>69</v>
      </c>
      <c r="D114" s="51">
        <f>C114/$C$118</f>
        <v>0.87341772151898733</v>
      </c>
      <c r="F114" s="16" t="s">
        <v>362</v>
      </c>
      <c r="G114" s="21">
        <f>COUNTIFS(BD!$K:$K,'Análisis - Respuestas'!F114,BD!$L:$L,"Solicito despido",BD!$M:$M,'Análisis - Respuestas'!$G$111)</f>
        <v>0</v>
      </c>
      <c r="H114" s="49">
        <f t="shared" ref="H114:H120" si="6">G114/$G$121</f>
        <v>0</v>
      </c>
      <c r="I114" s="49">
        <f t="shared" ref="I114:I120" si="7">G114/$C$121</f>
        <v>0</v>
      </c>
    </row>
    <row r="115" spans="1:9" s="13" customFormat="1" ht="15.6" outlineLevel="1" x14ac:dyDescent="0.3">
      <c r="A115" s="12"/>
      <c r="B115" s="16" t="s">
        <v>350</v>
      </c>
      <c r="C115" s="23">
        <f>COUNTIFS(BD!$M:$M,'Análisis - Respuestas'!B115,BD!$L:$L,"Solicito despido")</f>
        <v>3</v>
      </c>
      <c r="D115" s="53">
        <f t="shared" ref="D115:D117" si="8">C115/$C$118</f>
        <v>3.7974683544303799E-2</v>
      </c>
      <c r="F115" s="16" t="s">
        <v>357</v>
      </c>
      <c r="G115" s="21">
        <f>COUNTIFS(BD!$K:$K,'Análisis - Respuestas'!F115,BD!$L:$L,"Solicito despido",BD!$M:$M,'Análisis - Respuestas'!$G$111)</f>
        <v>25</v>
      </c>
      <c r="H115" s="49">
        <f t="shared" si="6"/>
        <v>0.36231884057971014</v>
      </c>
      <c r="I115" s="49">
        <f t="shared" si="7"/>
        <v>0.24271844660194175</v>
      </c>
    </row>
    <row r="116" spans="1:9" s="13" customFormat="1" ht="15.6" outlineLevel="1" x14ac:dyDescent="0.3">
      <c r="A116" s="12"/>
      <c r="B116" s="16" t="s">
        <v>8</v>
      </c>
      <c r="C116" s="23">
        <f>COUNTIFS(BD!$M:$M,'Análisis - Respuestas'!B116,BD!$L:$L,"Solicito despido")</f>
        <v>2</v>
      </c>
      <c r="D116" s="53">
        <f t="shared" si="8"/>
        <v>2.5316455696202531E-2</v>
      </c>
      <c r="F116" s="16" t="s">
        <v>10</v>
      </c>
      <c r="G116" s="21">
        <f>COUNTIFS(BD!$K:$K,'Análisis - Respuestas'!F116,BD!$L:$L,"Solicito despido",BD!$M:$M,'Análisis - Respuestas'!$G$111)</f>
        <v>0</v>
      </c>
      <c r="H116" s="49">
        <f t="shared" si="6"/>
        <v>0</v>
      </c>
      <c r="I116" s="49">
        <f t="shared" si="7"/>
        <v>0</v>
      </c>
    </row>
    <row r="117" spans="1:9" s="13" customFormat="1" ht="15.6" outlineLevel="1" x14ac:dyDescent="0.3">
      <c r="A117" s="12"/>
      <c r="B117" s="16" t="s">
        <v>9</v>
      </c>
      <c r="C117" s="23">
        <f>COUNTIFS(BD!$M:$M,'Análisis - Respuestas'!B117,BD!$L:$L,"Solicito despido")</f>
        <v>5</v>
      </c>
      <c r="D117" s="53">
        <f t="shared" si="8"/>
        <v>6.3291139240506333E-2</v>
      </c>
      <c r="F117" s="25" t="s">
        <v>11</v>
      </c>
      <c r="G117" s="26">
        <f>COUNTIFS(BD!$K:$K,'Análisis - Respuestas'!F117,BD!$L:$L,"Solicito despido",BD!$M:$M,'Análisis - Respuestas'!$G$111)</f>
        <v>37</v>
      </c>
      <c r="H117" s="52">
        <f t="shared" si="6"/>
        <v>0.53623188405797106</v>
      </c>
      <c r="I117" s="52">
        <f t="shared" si="7"/>
        <v>0.35922330097087379</v>
      </c>
    </row>
    <row r="118" spans="1:9" s="13" customFormat="1" ht="15.6" outlineLevel="1" x14ac:dyDescent="0.3">
      <c r="B118" s="28" t="s">
        <v>372</v>
      </c>
      <c r="C118" s="29">
        <f>SUM(C114:C117)</f>
        <v>79</v>
      </c>
      <c r="D118" s="30">
        <f>SUM(D114:D117)</f>
        <v>1</v>
      </c>
      <c r="F118" s="16" t="s">
        <v>358</v>
      </c>
      <c r="G118" s="21">
        <f>COUNTIFS(BD!$K:$K,'Análisis - Respuestas'!F118,BD!$L:$L,"Solicito despido",BD!$M:$M,'Análisis - Respuestas'!$G$111)</f>
        <v>0</v>
      </c>
      <c r="H118" s="49">
        <f t="shared" si="6"/>
        <v>0</v>
      </c>
      <c r="I118" s="49">
        <f t="shared" si="7"/>
        <v>0</v>
      </c>
    </row>
    <row r="119" spans="1:9" s="13" customFormat="1" ht="15.6" outlineLevel="1" x14ac:dyDescent="0.3">
      <c r="B119" s="31"/>
      <c r="C119" s="32"/>
      <c r="D119" s="33"/>
      <c r="F119" s="16" t="s">
        <v>359</v>
      </c>
      <c r="G119" s="21">
        <f>COUNTIFS(BD!$K:$K,'Análisis - Respuestas'!F119,BD!$L:$L,"Solicito despido",BD!$M:$M,'Análisis - Respuestas'!$G$111)</f>
        <v>7</v>
      </c>
      <c r="H119" s="49">
        <f t="shared" si="6"/>
        <v>0.10144927536231885</v>
      </c>
      <c r="I119" s="49">
        <f t="shared" si="7"/>
        <v>6.7961165048543687E-2</v>
      </c>
    </row>
    <row r="120" spans="1:9" s="13" customFormat="1" ht="15.6" outlineLevel="1" x14ac:dyDescent="0.3">
      <c r="D120" s="33"/>
      <c r="F120" s="16" t="s">
        <v>360</v>
      </c>
      <c r="G120" s="21">
        <f>COUNTIFS(BD!$K:$K,'Análisis - Respuestas'!F120,BD!$L:$L,"Solicito despido",BD!$M:$M,'Análisis - Respuestas'!$G$111)</f>
        <v>0</v>
      </c>
      <c r="H120" s="49">
        <f t="shared" si="6"/>
        <v>0</v>
      </c>
      <c r="I120" s="49">
        <f t="shared" si="7"/>
        <v>0</v>
      </c>
    </row>
    <row r="121" spans="1:9" s="13" customFormat="1" ht="15.6" outlineLevel="1" x14ac:dyDescent="0.3">
      <c r="B121" s="54" t="s">
        <v>731</v>
      </c>
      <c r="C121" s="55">
        <v>103</v>
      </c>
      <c r="D121" s="33"/>
      <c r="F121" s="28" t="s">
        <v>372</v>
      </c>
      <c r="G121" s="29">
        <f>SUM(G114:G120)</f>
        <v>69</v>
      </c>
      <c r="H121" s="30">
        <f>SUM(H114:H120)</f>
        <v>1</v>
      </c>
      <c r="I121" s="30">
        <f>SUM(I114:I120)</f>
        <v>0.66990291262135915</v>
      </c>
    </row>
    <row r="122" spans="1:9" s="13" customFormat="1" ht="15.6" outlineLevel="1" x14ac:dyDescent="0.3">
      <c r="B122" s="31"/>
      <c r="C122" s="32"/>
      <c r="D122" s="33"/>
      <c r="F122" s="31"/>
      <c r="G122" s="32"/>
      <c r="H122" s="33"/>
    </row>
    <row r="123" spans="1:9" s="13" customFormat="1" ht="15.6" outlineLevel="1" x14ac:dyDescent="0.3">
      <c r="A123" s="13" t="s">
        <v>724</v>
      </c>
      <c r="B123" s="31"/>
      <c r="C123" s="32"/>
      <c r="D123" s="33"/>
      <c r="F123" s="31"/>
      <c r="G123" s="32"/>
      <c r="H123" s="33"/>
    </row>
    <row r="124" spans="1:9" s="13" customFormat="1" ht="15.6" outlineLevel="1" x14ac:dyDescent="0.3">
      <c r="A124" s="47" t="s">
        <v>720</v>
      </c>
      <c r="B124" s="31"/>
      <c r="C124" s="32"/>
      <c r="D124" s="33"/>
      <c r="F124" s="31"/>
      <c r="G124" s="32"/>
      <c r="H124" s="33"/>
    </row>
    <row r="125" spans="1:9" s="13" customFormat="1" ht="15.6" outlineLevel="1" x14ac:dyDescent="0.3">
      <c r="A125" s="47" t="s">
        <v>721</v>
      </c>
      <c r="B125" s="31"/>
      <c r="C125" s="32"/>
      <c r="D125" s="33"/>
      <c r="F125" s="31"/>
      <c r="G125" s="32"/>
      <c r="H125" s="33"/>
    </row>
    <row r="126" spans="1:9" s="13" customFormat="1" ht="15.6" outlineLevel="1" x14ac:dyDescent="0.3">
      <c r="A126" s="47" t="s">
        <v>722</v>
      </c>
      <c r="B126" s="31"/>
      <c r="C126" s="32"/>
      <c r="D126" s="33"/>
      <c r="F126" s="31"/>
      <c r="G126" s="32"/>
      <c r="H126" s="33"/>
    </row>
    <row r="127" spans="1:9" s="13" customFormat="1" ht="15.6" outlineLevel="1" x14ac:dyDescent="0.3">
      <c r="A127" s="47" t="s">
        <v>723</v>
      </c>
      <c r="B127" s="31"/>
      <c r="C127" s="32"/>
      <c r="D127" s="33"/>
      <c r="F127" s="31"/>
      <c r="G127" s="32"/>
      <c r="H127" s="33"/>
    </row>
    <row r="128" spans="1:9" s="13" customFormat="1" ht="15.6" outlineLevel="1" x14ac:dyDescent="0.3">
      <c r="B128" s="31"/>
      <c r="C128" s="32"/>
      <c r="D128" s="33"/>
    </row>
    <row r="129" spans="1:9" s="13" customFormat="1" ht="15.6" x14ac:dyDescent="0.3">
      <c r="B129" s="31"/>
      <c r="C129" s="32"/>
      <c r="D129" s="33"/>
    </row>
    <row r="130" spans="1:9" s="9" customFormat="1" ht="15.6" x14ac:dyDescent="0.3">
      <c r="A130" s="8" t="s">
        <v>388</v>
      </c>
    </row>
    <row r="131" spans="1:9" ht="15.6" outlineLevel="2" x14ac:dyDescent="0.3">
      <c r="A131" s="4"/>
    </row>
    <row r="132" spans="1:9" ht="15.6" outlineLevel="2" x14ac:dyDescent="0.3">
      <c r="B132" s="14" t="s">
        <v>392</v>
      </c>
      <c r="C132" s="6"/>
      <c r="D132" s="6"/>
    </row>
    <row r="133" spans="1:9" s="13" customFormat="1" ht="15.6" outlineLevel="2" x14ac:dyDescent="0.3">
      <c r="B133" s="17" t="s">
        <v>390</v>
      </c>
      <c r="C133" s="17" t="s">
        <v>394</v>
      </c>
      <c r="D133" s="17" t="s">
        <v>395</v>
      </c>
    </row>
    <row r="134" spans="1:9" s="13" customFormat="1" ht="15.6" outlineLevel="2" x14ac:dyDescent="0.3">
      <c r="B134" s="18" t="s">
        <v>366</v>
      </c>
      <c r="C134" s="19">
        <f>COUNTIFS(BD!$O:$O,'Análisis - Respuestas'!B134,BD!$L:$L,"Despedido")</f>
        <v>1</v>
      </c>
      <c r="D134" s="20">
        <f>C134/$C$137</f>
        <v>4.1666666666666664E-2</v>
      </c>
      <c r="E134" s="15" t="s">
        <v>719</v>
      </c>
      <c r="F134" s="15"/>
    </row>
    <row r="135" spans="1:9" s="13" customFormat="1" ht="15.6" outlineLevel="2" x14ac:dyDescent="0.3">
      <c r="B135" s="16" t="s">
        <v>364</v>
      </c>
      <c r="C135" s="23">
        <f>COUNTIFS(BD!$O:$O,'Análisis - Respuestas'!B135,BD!$L:$L,"Despedido")</f>
        <v>5</v>
      </c>
      <c r="D135" s="22">
        <f t="shared" ref="D135:D136" si="9">C135/$C$137</f>
        <v>0.20833333333333334</v>
      </c>
    </row>
    <row r="136" spans="1:9" s="13" customFormat="1" ht="15.6" outlineLevel="2" x14ac:dyDescent="0.3">
      <c r="B136" s="16" t="s">
        <v>365</v>
      </c>
      <c r="C136" s="23">
        <f>COUNTIFS(BD!$O:$O,'Análisis - Respuestas'!B136,BD!$L:$L,"Despedido")</f>
        <v>18</v>
      </c>
      <c r="D136" s="22">
        <f t="shared" si="9"/>
        <v>0.75</v>
      </c>
    </row>
    <row r="137" spans="1:9" s="13" customFormat="1" ht="15.6" outlineLevel="2" x14ac:dyDescent="0.3">
      <c r="B137" s="28" t="s">
        <v>372</v>
      </c>
      <c r="C137" s="29">
        <f>SUM(C134:C136)</f>
        <v>24</v>
      </c>
      <c r="D137" s="30">
        <f>SUM(D134:D136)</f>
        <v>1</v>
      </c>
    </row>
    <row r="138" spans="1:9" outlineLevel="2" x14ac:dyDescent="0.3"/>
    <row r="140" spans="1:9" s="9" customFormat="1" ht="15.6" x14ac:dyDescent="0.3">
      <c r="A140" s="8" t="s">
        <v>735</v>
      </c>
    </row>
    <row r="141" spans="1:9" outlineLevel="1" x14ac:dyDescent="0.3"/>
    <row r="142" spans="1:9" s="13" customFormat="1" ht="19.8" customHeight="1" outlineLevel="1" x14ac:dyDescent="0.3">
      <c r="F142" s="11" t="s">
        <v>397</v>
      </c>
      <c r="G142" s="43" t="s">
        <v>366</v>
      </c>
      <c r="H142" s="43" t="s">
        <v>700</v>
      </c>
    </row>
    <row r="143" spans="1:9" s="13" customFormat="1" ht="15.6" outlineLevel="1" x14ac:dyDescent="0.3">
      <c r="B143" s="14" t="s">
        <v>393</v>
      </c>
      <c r="C143" s="15"/>
      <c r="D143" s="15"/>
      <c r="F143" s="34" t="s">
        <v>391</v>
      </c>
      <c r="G143" s="15"/>
      <c r="H143" s="15"/>
      <c r="I143" s="15"/>
    </row>
    <row r="144" spans="1:9" s="13" customFormat="1" ht="15.6" outlineLevel="1" x14ac:dyDescent="0.3">
      <c r="B144" s="17" t="s">
        <v>390</v>
      </c>
      <c r="C144" s="17" t="s">
        <v>707</v>
      </c>
      <c r="D144" s="17" t="s">
        <v>396</v>
      </c>
      <c r="F144" s="17" t="s">
        <v>336</v>
      </c>
      <c r="G144" s="17" t="s">
        <v>374</v>
      </c>
      <c r="H144" s="17" t="s">
        <v>375</v>
      </c>
      <c r="I144" s="17" t="s">
        <v>732</v>
      </c>
    </row>
    <row r="145" spans="1:9" s="13" customFormat="1" ht="15.6" outlineLevel="1" x14ac:dyDescent="0.3">
      <c r="B145" s="18" t="s">
        <v>366</v>
      </c>
      <c r="C145" s="19">
        <f>COUNTIFS(BD!$O:$O,'Análisis - Respuestas'!B145,BD!$L:$L,"Solicito despido")</f>
        <v>7</v>
      </c>
      <c r="D145" s="20">
        <f>C145/$C$148</f>
        <v>8.8607594936708861E-2</v>
      </c>
      <c r="F145" s="16" t="s">
        <v>362</v>
      </c>
      <c r="G145" s="21">
        <f>COUNTIFS(BD!$K:$K,'Análisis - Respuestas'!F145,BD!$L:$L,"Solicito despido",BD!$O:$O,'Análisis - Respuestas'!$G$142,BD!$M:$M,'Análisis - Respuestas'!$H$142)</f>
        <v>0</v>
      </c>
      <c r="H145" s="22">
        <f>IFERROR(G145/$G$152,0)</f>
        <v>0</v>
      </c>
      <c r="I145" s="49">
        <f>G145/$C$152</f>
        <v>0</v>
      </c>
    </row>
    <row r="146" spans="1:9" s="13" customFormat="1" ht="15.6" outlineLevel="1" x14ac:dyDescent="0.3">
      <c r="B146" s="16" t="s">
        <v>364</v>
      </c>
      <c r="C146" s="23">
        <f>COUNTIFS(BD!$O:$O,'Análisis - Respuestas'!B146,BD!$L:$L,"Solicito despido")</f>
        <v>64</v>
      </c>
      <c r="D146" s="24">
        <f>C146/$C$148</f>
        <v>0.810126582278481</v>
      </c>
      <c r="F146" s="25" t="s">
        <v>357</v>
      </c>
      <c r="G146" s="26">
        <f>COUNTIFS(BD!$K:$K,'Análisis - Respuestas'!F146,BD!$L:$L,"Solicito despido",BD!$O:$O,'Análisis - Respuestas'!$G$142,BD!$M:$M,'Análisis - Respuestas'!$H$142)</f>
        <v>1</v>
      </c>
      <c r="H146" s="27">
        <f t="shared" ref="H146:H151" si="10">IFERROR(G146/$G$152,0)</f>
        <v>0.16666666666666666</v>
      </c>
      <c r="I146" s="49">
        <f t="shared" ref="I146:I151" si="11">G146/$C$152</f>
        <v>9.7087378640776691E-3</v>
      </c>
    </row>
    <row r="147" spans="1:9" s="13" customFormat="1" ht="15.6" outlineLevel="1" x14ac:dyDescent="0.3">
      <c r="B147" s="16" t="s">
        <v>365</v>
      </c>
      <c r="C147" s="23">
        <f>COUNTIFS(BD!$O:$O,'Análisis - Respuestas'!B147,BD!$L:$L,"Solicito despido")</f>
        <v>8</v>
      </c>
      <c r="D147" s="24">
        <f>C147/$C$148</f>
        <v>0.10126582278481013</v>
      </c>
      <c r="F147" s="16" t="s">
        <v>10</v>
      </c>
      <c r="G147" s="21">
        <f>COUNTIFS(BD!$K:$K,'Análisis - Respuestas'!F147,BD!$L:$L,"Solicito despido",BD!$O:$O,'Análisis - Respuestas'!$G$142,BD!$M:$M,'Análisis - Respuestas'!$H$142)</f>
        <v>0</v>
      </c>
      <c r="H147" s="22">
        <f t="shared" si="10"/>
        <v>0</v>
      </c>
      <c r="I147" s="49">
        <f t="shared" si="11"/>
        <v>0</v>
      </c>
    </row>
    <row r="148" spans="1:9" s="13" customFormat="1" ht="15.6" outlineLevel="1" x14ac:dyDescent="0.3">
      <c r="B148" s="28" t="s">
        <v>372</v>
      </c>
      <c r="C148" s="29">
        <f>SUM(C145:C147)</f>
        <v>79</v>
      </c>
      <c r="D148" s="30">
        <f>SUM(D145:D147)</f>
        <v>1</v>
      </c>
      <c r="F148" s="25" t="s">
        <v>11</v>
      </c>
      <c r="G148" s="26">
        <f>COUNTIFS(BD!$K:$K,'Análisis - Respuestas'!F148,BD!$L:$L,"Solicito despido",BD!$O:$O,'Análisis - Respuestas'!$G$142,BD!$M:$M,'Análisis - Respuestas'!$H$142)</f>
        <v>5</v>
      </c>
      <c r="H148" s="27">
        <f t="shared" si="10"/>
        <v>0.83333333333333337</v>
      </c>
      <c r="I148" s="49">
        <f t="shared" si="11"/>
        <v>4.8543689320388349E-2</v>
      </c>
    </row>
    <row r="149" spans="1:9" s="13" customFormat="1" ht="15.6" outlineLevel="1" x14ac:dyDescent="0.3">
      <c r="F149" s="16" t="s">
        <v>358</v>
      </c>
      <c r="G149" s="21">
        <f>COUNTIFS(BD!$K:$K,'Análisis - Respuestas'!F149,BD!$L:$L,"Solicito despido",BD!$O:$O,'Análisis - Respuestas'!$G$142,BD!$M:$M,'Análisis - Respuestas'!$H$142)</f>
        <v>0</v>
      </c>
      <c r="H149" s="22">
        <f t="shared" si="10"/>
        <v>0</v>
      </c>
      <c r="I149" s="49">
        <f t="shared" si="11"/>
        <v>0</v>
      </c>
    </row>
    <row r="150" spans="1:9" s="13" customFormat="1" ht="15.6" outlineLevel="1" x14ac:dyDescent="0.3">
      <c r="F150" s="16" t="s">
        <v>359</v>
      </c>
      <c r="G150" s="21">
        <f>COUNTIFS(BD!$K:$K,'Análisis - Respuestas'!F150,BD!$L:$L,"Solicito despido",BD!$O:$O,'Análisis - Respuestas'!$G$142,BD!$M:$M,'Análisis - Respuestas'!$H$142)</f>
        <v>0</v>
      </c>
      <c r="H150" s="22">
        <f>IFERROR(G150/$G$152,0)</f>
        <v>0</v>
      </c>
      <c r="I150" s="49">
        <f t="shared" si="11"/>
        <v>0</v>
      </c>
    </row>
    <row r="151" spans="1:9" s="13" customFormat="1" ht="15.6" outlineLevel="1" x14ac:dyDescent="0.3">
      <c r="F151" s="16" t="s">
        <v>360</v>
      </c>
      <c r="G151" s="21">
        <f>COUNTIFS(BD!$K:$K,'Análisis - Respuestas'!F151,BD!$L:$L,"Solicito despido",BD!$O:$O,'Análisis - Respuestas'!$G$142,BD!$M:$M,'Análisis - Respuestas'!$H$142)</f>
        <v>0</v>
      </c>
      <c r="H151" s="22">
        <f t="shared" si="10"/>
        <v>0</v>
      </c>
      <c r="I151" s="49">
        <f t="shared" si="11"/>
        <v>0</v>
      </c>
    </row>
    <row r="152" spans="1:9" s="13" customFormat="1" ht="15.6" outlineLevel="1" x14ac:dyDescent="0.3">
      <c r="B152" s="54" t="s">
        <v>731</v>
      </c>
      <c r="C152" s="55">
        <v>103</v>
      </c>
      <c r="F152" s="28" t="s">
        <v>372</v>
      </c>
      <c r="G152" s="29">
        <f>SUM(G145:G151)</f>
        <v>6</v>
      </c>
      <c r="H152" s="30">
        <f>SUM(H145:H151)</f>
        <v>1</v>
      </c>
      <c r="I152" s="30">
        <f>SUM(I145:I151)</f>
        <v>5.8252427184466021E-2</v>
      </c>
    </row>
    <row r="153" spans="1:9" s="13" customFormat="1" ht="15.6" outlineLevel="1" x14ac:dyDescent="0.3">
      <c r="F153" s="31"/>
      <c r="G153" s="32"/>
      <c r="H153" s="33"/>
    </row>
    <row r="154" spans="1:9" s="13" customFormat="1" ht="15.6" outlineLevel="1" x14ac:dyDescent="0.3">
      <c r="A154" s="13" t="s">
        <v>730</v>
      </c>
      <c r="F154" s="31"/>
      <c r="G154" s="32"/>
      <c r="H154" s="33"/>
    </row>
    <row r="155" spans="1:9" s="13" customFormat="1" ht="15.6" outlineLevel="1" x14ac:dyDescent="0.3">
      <c r="A155" s="47" t="s">
        <v>725</v>
      </c>
      <c r="F155" s="31"/>
      <c r="G155" s="32"/>
      <c r="H155" s="33"/>
    </row>
    <row r="156" spans="1:9" s="13" customFormat="1" ht="15.6" outlineLevel="1" x14ac:dyDescent="0.3">
      <c r="A156" s="48" t="s">
        <v>726</v>
      </c>
      <c r="F156" s="31"/>
      <c r="G156" s="32"/>
      <c r="H156" s="33"/>
    </row>
    <row r="157" spans="1:9" s="13" customFormat="1" ht="15.6" outlineLevel="1" x14ac:dyDescent="0.3">
      <c r="A157" s="47" t="s">
        <v>727</v>
      </c>
      <c r="F157" s="31"/>
      <c r="G157" s="32"/>
      <c r="H157" s="33"/>
    </row>
    <row r="158" spans="1:9" s="13" customFormat="1" ht="15.6" outlineLevel="1" x14ac:dyDescent="0.3">
      <c r="A158" s="47" t="s">
        <v>728</v>
      </c>
      <c r="F158" s="31"/>
      <c r="G158" s="32"/>
      <c r="H158" s="33"/>
    </row>
    <row r="159" spans="1:9" s="13" customFormat="1" ht="15.6" outlineLevel="1" x14ac:dyDescent="0.3">
      <c r="A159" s="47" t="s">
        <v>729</v>
      </c>
      <c r="F159" s="31"/>
      <c r="G159" s="32"/>
      <c r="H159" s="33"/>
    </row>
  </sheetData>
  <mergeCells count="4">
    <mergeCell ref="A1:K1"/>
    <mergeCell ref="D58:K59"/>
    <mergeCell ref="A85:K85"/>
    <mergeCell ref="A2:K2"/>
  </mergeCells>
  <dataValidations count="2">
    <dataValidation type="list" allowBlank="1" showInputMessage="1" showErrorMessage="1" sqref="G111 H142" xr:uid="{3C5644BD-F32A-456C-B499-388F2A69C287}">
      <formula1>$B$114:$B$117</formula1>
    </dataValidation>
    <dataValidation type="list" allowBlank="1" showInputMessage="1" showErrorMessage="1" sqref="G142" xr:uid="{B5AE2D6F-18FB-4B7F-95F6-74E655B150CF}">
      <formula1>$B$145:$B$147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BD</vt:lpstr>
      <vt:lpstr>Análisis - Respuestas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Lorennzo Marrochi Nolding Rodrigues</dc:creator>
  <cp:lastModifiedBy>RUBIS BECERRA</cp:lastModifiedBy>
  <dcterms:created xsi:type="dcterms:W3CDTF">2020-04-23T15:06:46Z</dcterms:created>
  <dcterms:modified xsi:type="dcterms:W3CDTF">2026-02-03T03:55:46Z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